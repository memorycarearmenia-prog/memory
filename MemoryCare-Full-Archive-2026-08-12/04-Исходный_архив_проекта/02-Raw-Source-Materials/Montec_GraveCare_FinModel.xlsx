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Capacity Model" sheetId="2" state="visible" r:id="rId4"/>
    <sheet name="Unit Economics" sheetId="3" state="visible" r:id="rId5"/>
    <sheet name="Y1 Monthly Build" sheetId="4" state="visible" r:id="rId6"/>
    <sheet name="5-Year P&amp;L" sheetId="5" state="visible" r:id="rId7"/>
    <sheet name="Funding Summary" sheetId="6" state="visible" r:id="rId8"/>
  </sheets>
  <definedNames>
    <definedName function="false" hidden="false" name="ADMIN_GROWTH" vbProcedure="false">Assumptions!$B$45</definedName>
    <definedName function="false" hidden="false" name="ADMIN_Y1" vbProcedure="false">Assumptions!$B$44</definedName>
    <definedName function="false" hidden="false" name="BLEND_HVISITS" vbProcedure="false">Assumptions!$D$15</definedName>
    <definedName function="false" hidden="false" name="BLEND_LVISITS" vbProcedure="false">Assumptions!$E$16</definedName>
    <definedName function="false" hidden="false" name="BLEND_PRICE_AMD" vbProcedure="false">Assumptions!$B$14</definedName>
    <definedName function="false" hidden="false" name="CAP_CFG1" vbProcedure="false">'Capacity Model'!$E$41</definedName>
    <definedName function="false" hidden="false" name="CAP_CFG2" vbProcedure="false">'Capacity Model'!$E$42</definedName>
    <definedName function="false" hidden="false" name="CAP_CFG3" vbProcedure="false">'Capacity Model'!$E$43</definedName>
    <definedName function="false" hidden="false" name="CHURN_RATE" vbProcedure="false">Assumptions!$B$48</definedName>
    <definedName function="false" hidden="false" name="COST_PER_HPT" vbProcedure="false">'Unit Economics'!$B$4</definedName>
    <definedName function="false" hidden="false" name="COST_PER_LPT" vbProcedure="false">'Unit Economics'!$B$5</definedName>
    <definedName function="false" hidden="false" name="CREW_TOOLKIT" vbProcedure="false">Assumptions!$B$31</definedName>
    <definedName function="false" hidden="false" name="DRIVER_SAL" vbProcedure="false">Assumptions!$B$20</definedName>
    <definedName function="false" hidden="false" name="FULL_ANNUAL_COST" vbProcedure="false">'Capacity Model'!$B$6</definedName>
    <definedName function="false" hidden="false" name="FULL_PTS_CLUST" vbProcedure="false">Assumptions!$C$38</definedName>
    <definedName function="false" hidden="false" name="FULL_PTS_DISP" vbProcedure="false">Assumptions!$B$38</definedName>
    <definedName function="false" hidden="false" name="FX" vbProcedure="false">Assumptions!$B$4</definedName>
    <definedName function="false" hidden="false" name="GROWTH_Y2" vbProcedure="false">Assumptions!$B$49</definedName>
    <definedName function="false" hidden="false" name="GROWTH_Y3" vbProcedure="false">Assumptions!$B$50</definedName>
    <definedName function="false" hidden="false" name="GROWTH_Y4" vbProcedure="false">Assumptions!$B$51</definedName>
    <definedName function="false" hidden="false" name="GROWTH_Y5" vbProcedure="false">Assumptions!$B$52</definedName>
    <definedName function="false" hidden="false" name="HV_EXPRESS" vbProcedure="false">Assumptions!$D$10</definedName>
    <definedName function="false" hidden="false" name="HV_MAX" vbProcedure="false">Assumptions!$D$12</definedName>
    <definedName function="false" hidden="false" name="HV_OPTIMAL" vbProcedure="false">Assumptions!$D$11</definedName>
    <definedName function="false" hidden="false" name="LAUNCH_COST" vbProcedure="false">Assumptions!$B$34</definedName>
    <definedName function="false" hidden="false" name="LV_EXPRESS" vbProcedure="false">Assumptions!$E$10</definedName>
    <definedName function="false" hidden="false" name="LV_MAX" vbProcedure="false">Assumptions!$E$12</definedName>
    <definedName function="false" hidden="false" name="LV_OPTIMAL" vbProcedure="false">Assumptions!$E$11</definedName>
    <definedName function="false" hidden="false" name="MINI_ALLOW" vbProcedure="false">Assumptions!$B$26</definedName>
    <definedName function="false" hidden="false" name="MINI_ANNUAL_COST" vbProcedure="false">'Capacity Model'!$B$10</definedName>
    <definedName function="false" hidden="false" name="MINI_HIRE_MONTH" vbProcedure="false">Assumptions!$B$62</definedName>
    <definedName function="false" hidden="false" name="MINI_KIT" vbProcedure="false">Assumptions!$B$33</definedName>
    <definedName function="false" hidden="false" name="MINI_PTS_CLUST" vbProcedure="false">Assumptions!$C$39</definedName>
    <definedName function="false" hidden="false" name="MINI_PTS_DISP" vbProcedure="false">Assumptions!$B$39</definedName>
    <definedName function="false" hidden="false" name="MINI_RUN" vbProcedure="false">Assumptions!$B$32</definedName>
    <definedName function="false" hidden="false" name="MINI_SAL" vbProcedure="false">Assumptions!$B$25</definedName>
    <definedName function="false" hidden="false" name="MKT_GROWTH" vbProcedure="false">Assumptions!$B$43</definedName>
    <definedName function="false" hidden="false" name="MKT_Y1" vbProcedure="false">Assumptions!$B$42</definedName>
    <definedName function="false" hidden="false" name="N_DRIVERS" vbProcedure="false">Assumptions!$B$22</definedName>
    <definedName function="false" hidden="false" name="N_WORKERS" vbProcedure="false">Assumptions!$B$21</definedName>
    <definedName function="false" hidden="false" name="PNL_Normal_CASH_Y1" vbProcedure="false">'5-Year P&amp;L'!$B$82</definedName>
    <definedName function="false" hidden="false" name="PNL_Normal_CASH_Y2" vbProcedure="false">'5-Year P&amp;L'!$C$82</definedName>
    <definedName function="false" hidden="false" name="PNL_Normal_CASH_Y3" vbProcedure="false">'5-Year P&amp;L'!$D$82</definedName>
    <definedName function="false" hidden="false" name="PNL_Normal_CASH_Y4" vbProcedure="false">'5-Year P&amp;L'!$E$82</definedName>
    <definedName function="false" hidden="false" name="PNL_Normal_CASH_Y5" vbProcedure="false">'5-Year P&amp;L'!$F$82</definedName>
    <definedName function="false" hidden="false" name="PNL_Normal_CLIENTS_Y1" vbProcedure="false">'5-Year P&amp;L'!$B$52</definedName>
    <definedName function="false" hidden="false" name="PNL_Normal_CLIENTS_Y2" vbProcedure="false">'5-Year P&amp;L'!$C$52</definedName>
    <definedName function="false" hidden="false" name="PNL_Normal_CLIENTS_Y3" vbProcedure="false">'5-Year P&amp;L'!$D$52</definedName>
    <definedName function="false" hidden="false" name="PNL_Normal_CLIENTS_Y4" vbProcedure="false">'5-Year P&amp;L'!$E$52</definedName>
    <definedName function="false" hidden="false" name="PNL_Normal_CLIENTS_Y5" vbProcedure="false">'5-Year P&amp;L'!$F$52</definedName>
    <definedName function="false" hidden="false" name="PNL_Normal_EBITDA_Y1" vbProcedure="false">'5-Year P&amp;L'!$B$73</definedName>
    <definedName function="false" hidden="false" name="PNL_Normal_EBITDA_Y2" vbProcedure="false">'5-Year P&amp;L'!$C$73</definedName>
    <definedName function="false" hidden="false" name="PNL_Normal_EBITDA_Y3" vbProcedure="false">'5-Year P&amp;L'!$D$73</definedName>
    <definedName function="false" hidden="false" name="PNL_Normal_EBITDA_Y4" vbProcedure="false">'5-Year P&amp;L'!$E$73</definedName>
    <definedName function="false" hidden="false" name="PNL_Normal_EBITDA_Y5" vbProcedure="false">'5-Year P&amp;L'!$F$73</definedName>
    <definedName function="false" hidden="false" name="PNL_Normal_REV_Y1" vbProcedure="false">'5-Year P&amp;L'!$B$62</definedName>
    <definedName function="false" hidden="false" name="PNL_Normal_REV_Y2" vbProcedure="false">'5-Year P&amp;L'!$C$62</definedName>
    <definedName function="false" hidden="false" name="PNL_Normal_REV_Y3" vbProcedure="false">'5-Year P&amp;L'!$D$62</definedName>
    <definedName function="false" hidden="false" name="PNL_Normal_REV_Y4" vbProcedure="false">'5-Year P&amp;L'!$E$62</definedName>
    <definedName function="false" hidden="false" name="PNL_Normal_REV_Y5" vbProcedure="false">'5-Year P&amp;L'!$F$62</definedName>
    <definedName function="false" hidden="false" name="PNL_Positive_CASH_Y1" vbProcedure="false">'5-Year P&amp;L'!$B$123</definedName>
    <definedName function="false" hidden="false" name="PNL_Positive_CASH_Y2" vbProcedure="false">'5-Year P&amp;L'!$C$123</definedName>
    <definedName function="false" hidden="false" name="PNL_Positive_CASH_Y3" vbProcedure="false">'5-Year P&amp;L'!$D$123</definedName>
    <definedName function="false" hidden="false" name="PNL_Positive_CASH_Y4" vbProcedure="false">'5-Year P&amp;L'!$E$123</definedName>
    <definedName function="false" hidden="false" name="PNL_Positive_CASH_Y5" vbProcedure="false">'5-Year P&amp;L'!$F$123</definedName>
    <definedName function="false" hidden="false" name="PNL_Positive_CLIENTS_Y1" vbProcedure="false">'5-Year P&amp;L'!$B$93</definedName>
    <definedName function="false" hidden="false" name="PNL_Positive_CLIENTS_Y2" vbProcedure="false">'5-Year P&amp;L'!$C$93</definedName>
    <definedName function="false" hidden="false" name="PNL_Positive_CLIENTS_Y3" vbProcedure="false">'5-Year P&amp;L'!$D$93</definedName>
    <definedName function="false" hidden="false" name="PNL_Positive_CLIENTS_Y4" vbProcedure="false">'5-Year P&amp;L'!$E$93</definedName>
    <definedName function="false" hidden="false" name="PNL_Positive_CLIENTS_Y5" vbProcedure="false">'5-Year P&amp;L'!$F$93</definedName>
    <definedName function="false" hidden="false" name="PNL_Positive_EBITDA_Y1" vbProcedure="false">'5-Year P&amp;L'!$B$114</definedName>
    <definedName function="false" hidden="false" name="PNL_Positive_EBITDA_Y2" vbProcedure="false">'5-Year P&amp;L'!$C$114</definedName>
    <definedName function="false" hidden="false" name="PNL_Positive_EBITDA_Y3" vbProcedure="false">'5-Year P&amp;L'!$D$114</definedName>
    <definedName function="false" hidden="false" name="PNL_Positive_EBITDA_Y4" vbProcedure="false">'5-Year P&amp;L'!$E$114</definedName>
    <definedName function="false" hidden="false" name="PNL_Positive_EBITDA_Y5" vbProcedure="false">'5-Year P&amp;L'!$F$114</definedName>
    <definedName function="false" hidden="false" name="PNL_Positive_REV_Y1" vbProcedure="false">'5-Year P&amp;L'!$B$103</definedName>
    <definedName function="false" hidden="false" name="PNL_Positive_REV_Y2" vbProcedure="false">'5-Year P&amp;L'!$C$103</definedName>
    <definedName function="false" hidden="false" name="PNL_Positive_REV_Y3" vbProcedure="false">'5-Year P&amp;L'!$D$103</definedName>
    <definedName function="false" hidden="false" name="PNL_Positive_REV_Y4" vbProcedure="false">'5-Year P&amp;L'!$E$103</definedName>
    <definedName function="false" hidden="false" name="PNL_Positive_REV_Y5" vbProcedure="false">'5-Year P&amp;L'!$F$103</definedName>
    <definedName function="false" hidden="false" name="PNL_Worst_CASH_Y1" vbProcedure="false">'5-Year P&amp;L'!$B$41</definedName>
    <definedName function="false" hidden="false" name="PNL_Worst_CASH_Y2" vbProcedure="false">'5-Year P&amp;L'!$C$41</definedName>
    <definedName function="false" hidden="false" name="PNL_Worst_CASH_Y3" vbProcedure="false">'5-Year P&amp;L'!$D$41</definedName>
    <definedName function="false" hidden="false" name="PNL_Worst_CASH_Y4" vbProcedure="false">'5-Year P&amp;L'!$E$41</definedName>
    <definedName function="false" hidden="false" name="PNL_Worst_CASH_Y5" vbProcedure="false">'5-Year P&amp;L'!$F$41</definedName>
    <definedName function="false" hidden="false" name="PNL_Worst_CLIENTS_Y1" vbProcedure="false">'5-Year P&amp;L'!$B$11</definedName>
    <definedName function="false" hidden="false" name="PNL_Worst_CLIENTS_Y2" vbProcedure="false">'5-Year P&amp;L'!$C$11</definedName>
    <definedName function="false" hidden="false" name="PNL_Worst_CLIENTS_Y3" vbProcedure="false">'5-Year P&amp;L'!$D$11</definedName>
    <definedName function="false" hidden="false" name="PNL_Worst_CLIENTS_Y4" vbProcedure="false">'5-Year P&amp;L'!$E$11</definedName>
    <definedName function="false" hidden="false" name="PNL_Worst_CLIENTS_Y5" vbProcedure="false">'5-Year P&amp;L'!$F$11</definedName>
    <definedName function="false" hidden="false" name="PNL_Worst_EBITDA_Y1" vbProcedure="false">'5-Year P&amp;L'!$B$32</definedName>
    <definedName function="false" hidden="false" name="PNL_Worst_EBITDA_Y2" vbProcedure="false">'5-Year P&amp;L'!$C$32</definedName>
    <definedName function="false" hidden="false" name="PNL_Worst_EBITDA_Y3" vbProcedure="false">'5-Year P&amp;L'!$D$32</definedName>
    <definedName function="false" hidden="false" name="PNL_Worst_EBITDA_Y4" vbProcedure="false">'5-Year P&amp;L'!$E$32</definedName>
    <definedName function="false" hidden="false" name="PNL_Worst_EBITDA_Y5" vbProcedure="false">'5-Year P&amp;L'!$F$32</definedName>
    <definedName function="false" hidden="false" name="PNL_Worst_REV_Y1" vbProcedure="false">'5-Year P&amp;L'!$B$21</definedName>
    <definedName function="false" hidden="false" name="PNL_Worst_REV_Y2" vbProcedure="false">'5-Year P&amp;L'!$C$21</definedName>
    <definedName function="false" hidden="false" name="PNL_Worst_REV_Y3" vbProcedure="false">'5-Year P&amp;L'!$D$21</definedName>
    <definedName function="false" hidden="false" name="PNL_Worst_REV_Y4" vbProcedure="false">'5-Year P&amp;L'!$E$21</definedName>
    <definedName function="false" hidden="false" name="PNL_Worst_REV_Y5" vbProcedure="false">'5-Year P&amp;L'!$F$21</definedName>
    <definedName function="false" hidden="false" name="PRICE_EXPRESS" vbProcedure="false">Assumptions!$B$10</definedName>
    <definedName function="false" hidden="false" name="PRICE_MAX" vbProcedure="false">Assumptions!$B$12</definedName>
    <definedName function="false" hidden="false" name="PRICE_OPTIMAL" vbProcedure="false">Assumptions!$B$11</definedName>
    <definedName function="false" hidden="false" name="SYSCAP_Y1" vbProcedure="false">'Capacity Model'!$B$37</definedName>
    <definedName function="false" hidden="false" name="SYSCAP_Y2" vbProcedure="false">'Capacity Model'!$C$37</definedName>
    <definedName function="false" hidden="false" name="SYSCAP_Y3" vbProcedure="false">'Capacity Model'!$D$37</definedName>
    <definedName function="false" hidden="false" name="SYSCAP_Y4" vbProcedure="false">'Capacity Model'!$E$37</definedName>
    <definedName function="false" hidden="false" name="SYSCAP_Y5" vbProcedure="false">'Capacity Model'!$F$37</definedName>
    <definedName function="false" hidden="false" name="SYSTEM_CAPACITY_Y1" vbProcedure="false">'Capacity Model'!$B$23</definedName>
    <definedName function="false" hidden="false" name="TARGET_NORMAL" vbProcedure="false">Assumptions!$B$56</definedName>
    <definedName function="false" hidden="false" name="TARGET_POSITIVE" vbProcedure="false">Assumptions!$B$57</definedName>
    <definedName function="false" hidden="false" name="TARGET_WORST" vbProcedure="false">Assumptions!$B$55</definedName>
    <definedName function="false" hidden="false" name="TAX_RATE" vbProcedure="false">Assumptions!$B$6</definedName>
    <definedName function="false" hidden="false" name="VAN_PRICE" vbProcedure="false">Assumptions!$B$29</definedName>
    <definedName function="false" hidden="false" name="VAN_RUN" vbProcedure="false">Assumptions!$B$30</definedName>
    <definedName function="false" hidden="false" name="WORKDAYS" vbProcedure="false">Assumptions!$B$5</definedName>
    <definedName function="false" hidden="false" name="WORKER_SAL" vbProcedure="false">Assumptions!$B$19</definedName>
    <definedName function="false" hidden="false" name="Y1_CAPEX_Normal" vbProcedure="false">'Y1 Monthly Build'!$R$15</definedName>
    <definedName function="false" hidden="false" name="Y1_CAPEX_Positive" vbProcedure="false">'Y1 Monthly Build'!$AB$15</definedName>
    <definedName function="false" hidden="false" name="Y1_CAPEX_Worst" vbProcedure="false">'Y1 Monthly Build'!$H$15</definedName>
    <definedName function="false" hidden="false" name="Y1_CREW_COST_Normal" vbProcedure="false">'Y1 Monthly Build'!$O$15</definedName>
    <definedName function="false" hidden="false" name="Y1_CREW_COST_Positive" vbProcedure="false">'Y1 Monthly Build'!$Y$15</definedName>
    <definedName function="false" hidden="false" name="Y1_CREW_COST_Worst" vbProcedure="false">'Y1 Monthly Build'!$E$15</definedName>
    <definedName function="false" hidden="false" name="Y1_EOY_CLIENTS_Normal" vbProcedure="false">'Y1 Monthly Build'!$M$15</definedName>
    <definedName function="false" hidden="false" name="Y1_EOY_CLIENTS_Positive" vbProcedure="false">'Y1 Monthly Build'!$W$15</definedName>
    <definedName function="false" hidden="false" name="Y1_EOY_CLIENTS_Worst" vbProcedure="false">'Y1 Monthly Build'!$C$15</definedName>
    <definedName function="false" hidden="false" name="Y1_MINI_COST_Normal" vbProcedure="false">'Y1 Monthly Build'!$P$15</definedName>
    <definedName function="false" hidden="false" name="Y1_MINI_COST_Positive" vbProcedure="false">'Y1 Monthly Build'!$Z$15</definedName>
    <definedName function="false" hidden="false" name="Y1_MINI_COST_Worst" vbProcedure="false">'Y1 Monthly Build'!$F$15</definedName>
    <definedName function="false" hidden="false" name="Y1_MKT_COST_Normal" vbProcedure="false">'Y1 Monthly Build'!$Q$15</definedName>
    <definedName function="false" hidden="false" name="Y1_MKT_COST_Positive" vbProcedure="false">'Y1 Monthly Build'!$AA$15</definedName>
    <definedName function="false" hidden="false" name="Y1_MKT_COST_Worst" vbProcedure="false">'Y1 Monthly Build'!$G$15</definedName>
    <definedName function="false" hidden="false" name="Y1_NCF_Normal" vbProcedure="false">'Y1 Monthly Build'!$S$15</definedName>
    <definedName function="false" hidden="false" name="Y1_NCF_Positive" vbProcedure="false">'Y1 Monthly Build'!$AC$15</definedName>
    <definedName function="false" hidden="false" name="Y1_NCF_Worst" vbProcedure="false">'Y1 Monthly Build'!$I$15</definedName>
    <definedName function="false" hidden="false" name="Y1_PEAKCASH_Normal" vbProcedure="false">'Y1 Monthly Build'!$T$16</definedName>
    <definedName function="false" hidden="false" name="Y1_PEAKCASH_Positive" vbProcedure="false">'Y1 Monthly Build'!$AD$16</definedName>
    <definedName function="false" hidden="false" name="Y1_PEAKCASH_Worst" vbProcedure="false">'Y1 Monthly Build'!$J$16</definedName>
    <definedName function="false" hidden="false" name="Y1_REV_Normal" vbProcedure="false">'Y1 Monthly Build'!$N$15</definedName>
    <definedName function="false" hidden="false" name="Y1_REV_Positive" vbProcedure="false">'Y1 Monthly Build'!$X$15</definedName>
    <definedName function="false" hidden="false" name="Y1_REV_Worst" vbProcedure="false">'Y1 Monthly Build'!$D$15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<sst xmlns="http://schemas.openxmlformats.org/spreadsheetml/2006/main" count="296" uniqueCount="185">
  <si>
    <t xml:space="preserve">MEMORY CARE — Assumptions (все синие ячейки — редактируемые входные данные)</t>
  </si>
  <si>
    <t xml:space="preserve">FX &amp; ОБЩИЕ</t>
  </si>
  <si>
    <t xml:space="preserve">AMD за 1 USD</t>
  </si>
  <si>
    <t xml:space="preserve">Рабочих дней в месяце (экипаж)</t>
  </si>
  <si>
    <t xml:space="preserve">Налог с оборота</t>
  </si>
  <si>
    <t xml:space="preserve">НОВАЯ ТАРИФНАЯ СЕТКА (заменяет архивные плоские $500/$650)</t>
  </si>
  <si>
    <t xml:space="preserve">Тариф</t>
  </si>
  <si>
    <t xml:space="preserve">Цена, AMD</t>
  </si>
  <si>
    <t xml:space="preserve">Цена, $</t>
  </si>
  <si>
    <t xml:space="preserve">Тяж. визитов/год</t>
  </si>
  <si>
    <t xml:space="preserve">Лёгк. визитов/год</t>
  </si>
  <si>
    <t xml:space="preserve">Доля в миксе клиентов</t>
  </si>
  <si>
    <t xml:space="preserve">Разовый визит (Экспресс)</t>
  </si>
  <si>
    <t xml:space="preserve">Годовой «Оптимальный» (6 визитов)</t>
  </si>
  <si>
    <t xml:space="preserve">Годовой «Максимум» (12 визитов)</t>
  </si>
  <si>
    <t xml:space="preserve">ИТОГО доля (проверка = 100%)</t>
  </si>
  <si>
    <t xml:space="preserve">Взвешенная (blended) цена подписки</t>
  </si>
  <si>
    <t xml:space="preserve">Взвешенные тяж. визиты/клиента/год</t>
  </si>
  <si>
    <t xml:space="preserve">Взвешенные лёгк. визиты/клиента/год</t>
  </si>
  <si>
    <t xml:space="preserve">Именованные ссылки на строки визитов по тарифам (для Unit Economics):</t>
  </si>
  <si>
    <t xml:space="preserve">ЗАРПЛАТЫ — ТЯЖЁЛАЯ КОМАНДА (AMD/месяц)</t>
  </si>
  <si>
    <t xml:space="preserve">Рабочий (уборщик)</t>
  </si>
  <si>
    <t xml:space="preserve">Водитель / фотоотчётчик</t>
  </si>
  <si>
    <t xml:space="preserve">Работников в команде</t>
  </si>
  <si>
    <t xml:space="preserve">Водителей в команде</t>
  </si>
  <si>
    <t xml:space="preserve">МИНИ-ВИЗИТЁР — ЛЁГКАЯ КОМАНДА (AMD/месяц)</t>
  </si>
  <si>
    <t xml:space="preserve">Базовая зарплата</t>
  </si>
  <si>
    <t xml:space="preserve">Компенсация за личный авто</t>
  </si>
  <si>
    <t xml:space="preserve">ТРАНСПОРТ И ОБОРУДОВАНИЕ (USD)</t>
  </si>
  <si>
    <t xml:space="preserve">Ford Transit — цена покупки</t>
  </si>
  <si>
    <t xml:space="preserve">Ford Transit — расход/месяц</t>
  </si>
  <si>
    <t xml:space="preserve">Комплект инструмента (тяж., разово)</t>
  </si>
  <si>
    <t xml:space="preserve">Авто мини-визитёра, расход/месяц</t>
  </si>
  <si>
    <t xml:space="preserve">Комплект лёгкой уборки (разово)</t>
  </si>
  <si>
    <t xml:space="preserve">Запуск / сайт / брендинг (разово, Год1)</t>
  </si>
  <si>
    <t xml:space="preserve">ДНЕВНАЯ ТОЧЕЧНАЯ МОЩНОСТЬ (points/day)</t>
  </si>
  <si>
    <t xml:space="preserve">Рассредоточенно</t>
  </si>
  <si>
    <t xml:space="preserve">Кластер (Ереван)</t>
  </si>
  <si>
    <t xml:space="preserve">Тяжёлый экипаж</t>
  </si>
  <si>
    <t xml:space="preserve">Мини-визитёр</t>
  </si>
  <si>
    <t xml:space="preserve">НАКЛАДНЫЕ РАСХОДЫ (USD/месяц, база Год1)</t>
  </si>
  <si>
    <t xml:space="preserve">Маркетинг, Год1</t>
  </si>
  <si>
    <t xml:space="preserve">Рост маркетинга / год (+ USD/мес)</t>
  </si>
  <si>
    <t xml:space="preserve">Админ/бухгалтерия/CRM/страховка, Год1</t>
  </si>
  <si>
    <t xml:space="preserve">Рост админ / год (+ USD/мес)</t>
  </si>
  <si>
    <t xml:space="preserve">ОТТОК И РОСТ, ГОД 2–5</t>
  </si>
  <si>
    <t xml:space="preserve">Годовой отток (в момент продления через 12 мес.)</t>
  </si>
  <si>
    <t xml:space="preserve">Рост клиентской базы Год2</t>
  </si>
  <si>
    <t xml:space="preserve">Рост клиентской базы Год3</t>
  </si>
  <si>
    <t xml:space="preserve">Рост клиентской базы Год4</t>
  </si>
  <si>
    <t xml:space="preserve">Рост клиентской базы Год5</t>
  </si>
  <si>
    <t xml:space="preserve">СЦЕНАРИИ: КЛИЕНТЫ НА КОНЕЦ ГОДА 1 (по запросу Hayk, 30.07.2026)</t>
  </si>
  <si>
    <t xml:space="preserve">Худший сценарий</t>
  </si>
  <si>
    <t xml:space="preserve">Нормальный сценарий</t>
  </si>
  <si>
    <t xml:space="preserve">Позитивный сценарий</t>
  </si>
  <si>
    <t xml:space="preserve">Операционное допущение: во всех 3 сценариях мощности одного тяжёлого экипажа + одного мини-визитёра</t>
  </si>
  <si>
    <t xml:space="preserve">с запасом хватает на весь Год 1 (см. вкладку Capacity Model) — второй экипаж в Году 1 не требуется ни в одном сценарии.</t>
  </si>
  <si>
    <t xml:space="preserve">Мини-визитёр нанимается в Месяце 4 во всех сценариях (операционное решение для регулярности лёгких визитов, а не из-за нехватки мощности).</t>
  </si>
  <si>
    <t xml:space="preserve">MINI_HIRE_MONTH — месяц найма мини-визитёра во всех сценариях:</t>
  </si>
  <si>
    <t xml:space="preserve">Capacity Model — мощность 1 тяжёлого экипажа + 1 мини-визитёра (новая тарифная сетка)</t>
  </si>
  <si>
    <t xml:space="preserve">ГОДОВАЯ СЕБЕСТОИМОСТЬ ЭКИПАЖА (USD)</t>
  </si>
  <si>
    <t xml:space="preserve">Тяжёлый экипаж — зарплаты в год</t>
  </si>
  <si>
    <t xml:space="preserve">Тяжёлый экипаж — расход авто в год</t>
  </si>
  <si>
    <t xml:space="preserve">Тяжёлый экипаж — ИТОГО годовая операционная стоимость</t>
  </si>
  <si>
    <t xml:space="preserve">Мини-визитёр — зарплата+компенсация в год</t>
  </si>
  <si>
    <t xml:space="preserve">Мини-визитёр — расход авто в год</t>
  </si>
  <si>
    <t xml:space="preserve">Мини-визитёр — ИТОГО годовая операционная стоимость</t>
  </si>
  <si>
    <t xml:space="preserve">ГОДОВАЯ ТОЧЕЧНАЯ МОЩНОСТЬ (points/year = points/day x WORKDAYS x 12)</t>
  </si>
  <si>
    <t xml:space="preserve">Тяжёлый экипаж — точек/год, рассредоточенно</t>
  </si>
  <si>
    <t xml:space="preserve">Тяжёлый экипаж — точек/год, кластер</t>
  </si>
  <si>
    <t xml:space="preserve">Мини-визитёр — точек/год, рассредоточенно</t>
  </si>
  <si>
    <t xml:space="preserve">Мини-визитёр — точек/год, кластер</t>
  </si>
  <si>
    <t xml:space="preserve">МОЩНОСТЬ В КЛИЕНТАХ (с учётом новой взвешенной интенсивности визитов)</t>
  </si>
  <si>
    <t xml:space="preserve">Взвешенные тяж. визиты / клиента / год (из Assumptions)</t>
  </si>
  <si>
    <t xml:space="preserve">Взвешенные лёгк. визиты / клиента / год (из Assumptions)</t>
  </si>
  <si>
    <t xml:space="preserve">Клиентов на 1 тяжёлый экипаж — рассредоточенно</t>
  </si>
  <si>
    <t xml:space="preserve">Клиентов на 1 мини-визитёра — рассредоточенно</t>
  </si>
  <si>
    <t xml:space="preserve">СИСТЕМНАЯ МОЩНОСТЬ (1 экипаж + 1 визитёр, рассредоточенно) = MIN(...)</t>
  </si>
  <si>
    <t xml:space="preserve">Вывод: максимум сценария — 300 клиентов (Позитивный).</t>
  </si>
  <si>
    <t xml:space="preserve">Даже без кластерного бонуса плотности мощности одного экипажа + одного визитёра хватает на весь Год 1</t>
  </si>
  <si>
    <t xml:space="preserve">во всех трёх сценариях — второй экипаж НЕ требуется в Году 1 ни в одном из них.</t>
  </si>
  <si>
    <t xml:space="preserve">(Причина: новая тарифная сетка кратно легче по визитной нагрузке, чем архивная плоская — 2.45 тяж. + 4.6 лёгк. визитов/клиента/год против прежних 6+12.)</t>
  </si>
  <si>
    <t xml:space="preserve">5-ЛЕТНИЙ ПЛАН МОЩНОСТИ (справочно, кластеризация с Года1 — единый экипаж в кластере)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</si>
  <si>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</si>
  <si>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</si>
  <si>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</si>
  <si>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</si>
  <si>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</si>
  <si>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Тяжёлых экипажей (#)</t>
  </si>
  <si>
    <t xml:space="preserve">Мини-визитёров (#)</t>
  </si>
  <si>
    <t xml:space="preserve">Кластеризация активна? (1/0)</t>
  </si>
  <si>
    <t xml:space="preserve">Мощность по тяж. экипажам (клиентов)</t>
  </si>
  <si>
    <t xml:space="preserve">Мощность по мини-визитёрам (клиентов)</t>
  </si>
  <si>
    <t xml:space="preserve">Системная мощность = MIN(...)</t>
  </si>
  <si>
    <t xml:space="preserve">СПРАВОЧНИК КОНФИГУРАЦИЙ МОЩНОСТИ (используется в 5-Year P&amp;L по сценариям)</t>
  </si>
  <si>
    <t xml:space="preserve">Конфигурация</t>
  </si>
  <si>
    <t xml:space="preserve">Экипажи</t>
  </si>
  <si>
    <t xml:space="preserve">Визитёры</t>
  </si>
  <si>
    <t xml:space="preserve">Кластер?</t>
  </si>
  <si>
    <t xml:space="preserve">Мощность, клиентов</t>
  </si>
  <si>
    <t xml:space="preserve">1 экипаж + 1 визитёр, рассредоточенно</t>
  </si>
  <si>
    <t xml:space="preserve">1 экипаж + 2 визитёра, рассредоточенно</t>
  </si>
  <si>
    <t xml:space="preserve">2 экипажа + 2 визитёра, кластер</t>
  </si>
  <si>
    <t xml:space="preserve">Разные сценарии упираются в разную конфигурацию мощности только в Позитивном сценарии (Год 4-5) — см. 5-Year P&amp;L.</t>
  </si>
  <si>
    <t xml:space="preserve">Unit Economics — себестоимость и маржа по тарифным планам (новая сетка)</t>
  </si>
  <si>
    <t xml:space="preserve">Стоимость 1 точки (визита), USD — рассредоточенно</t>
  </si>
  <si>
    <t xml:space="preserve">Тяжёлый визит (точка)</t>
  </si>
  <si>
    <t xml:space="preserve">Лёгкий визит (точка)</t>
  </si>
  <si>
    <t xml:space="preserve">СЕБЕСТОИМОСТЬ И МАРЖА ПО ТАРИФАМ (прямые затраты, без наклад. расходов — маркетинг/админ считаются на 5-Year P&amp;L)</t>
  </si>
  <si>
    <t xml:space="preserve">Разовый (Экспресс)</t>
  </si>
  <si>
    <t xml:space="preserve">Оптимальный</t>
  </si>
  <si>
    <t xml:space="preserve">Максимум</t>
  </si>
  <si>
    <t xml:space="preserve">Blended</t>
  </si>
  <si>
    <t xml:space="preserve">Цена подписки, AMD</t>
  </si>
  <si>
    <t xml:space="preserve">Выручка после налога с оборота (x(1-TAX_RATE))</t>
  </si>
  <si>
    <t xml:space="preserve">Прямая себестоимость (visits x cost/point), AMD</t>
  </si>
  <si>
    <t xml:space="preserve">Валовая прибыль, AMD</t>
  </si>
  <si>
    <t xml:space="preserve">Валовая маржа, %</t>
  </si>
  <si>
    <t xml:space="preserve">Доля в клиентском миксе</t>
  </si>
  <si>
    <t xml:space="preserve">Примечание: прямая себестоимость = визиты x стоимость точки (Capacity Model); не включает маркетинг/админ/капекс —</t>
  </si>
  <si>
    <t xml:space="preserve">те считаются на уровне компании в 'Y1 Monthly Build' и '5-Year P&amp;L'.</t>
  </si>
  <si>
    <t xml:space="preserve">Маржа выше, чем в исходном текстовом документе Memory Care (v4.0), т.к. Excel-модель изначально считает по более высокой</t>
  </si>
  <si>
    <t xml:space="preserve">производительности экипажа (5.5-8.5 точек/день) против 2.5-3.5 точек/день в текстовом плане — это разные допущения, стоит сверить с Давидом.</t>
  </si>
  <si>
    <t xml:space="preserve">Y1 Monthly Build — три сценария (плавное помесячное распределение новых клиентов)</t>
  </si>
  <si>
    <t xml:space="preserve">Худший — 160 клиентов</t>
  </si>
  <si>
    <t xml:space="preserve">Нормальный — 220 клиентов</t>
  </si>
  <si>
    <t xml:space="preserve">Позитивный — 300 клиентов</t>
  </si>
  <si>
    <t xml:space="preserve">Месяц</t>
  </si>
  <si>
    <t xml:space="preserve">Новые клиенты/мес</t>
  </si>
  <si>
    <t xml:space="preserve">Клиенты нарастающим итогом</t>
  </si>
  <si>
    <t xml:space="preserve">Выручка (cash), AMD</t>
  </si>
  <si>
    <t xml:space="preserve">Расходы тяж. экипажа, $</t>
  </si>
  <si>
    <t xml:space="preserve">Расходы мини-визитёра, $</t>
  </si>
  <si>
    <t xml:space="preserve">Маркетинг+админ, $</t>
  </si>
  <si>
    <t xml:space="preserve">Капекс, $</t>
  </si>
  <si>
    <t xml:space="preserve">Чистый ден. поток, $</t>
  </si>
  <si>
    <t xml:space="preserve">Накопленный кэш, $</t>
  </si>
  <si>
    <t xml:space="preserve">Итог/год</t>
  </si>
  <si>
    <t xml:space="preserve">Мин. накопл. кэш (пик потребности)</t>
  </si>
  <si>
    <t xml:space="preserve">Проверка: сумма новых = цель сценария</t>
  </si>
  <si>
    <t xml:space="preserve">5-Year P&amp;L — три сценария Года 1, единая траектория роста Год 2-5 (45%/30%/20%/15%)</t>
  </si>
  <si>
    <t xml:space="preserve">СЦЕНАРИЙ: ХУДШИЙ — 160 КЛИЕНТОВ</t>
  </si>
  <si>
    <t xml:space="preserve">Мощность (потолок клиентов, конфигурация года)</t>
  </si>
  <si>
    <t xml:space="preserve">Клиенты — начало года</t>
  </si>
  <si>
    <t xml:space="preserve">Продлевающие клиенты (start x (1-churn))</t>
  </si>
  <si>
    <t xml:space="preserve">Клиенты — конец года (цель, капед по мощности)</t>
  </si>
  <si>
    <t xml:space="preserve">Новых подписок нужно за год</t>
  </si>
  <si>
    <t xml:space="preserve">Потеряно из-за оттока</t>
  </si>
  <si>
    <t xml:space="preserve">Клиенты — среднее за год</t>
  </si>
  <si>
    <t xml:space="preserve">Утилизация мощности (EOY/потолок)</t>
  </si>
  <si>
    <t xml:space="preserve">ВЫРУЧКА И НАЛОГ ($)</t>
  </si>
  <si>
    <t xml:space="preserve">Выручка (EOY клиенты x blended price)</t>
  </si>
  <si>
    <t xml:space="preserve">Налог с оборота (10%)</t>
  </si>
  <si>
    <t xml:space="preserve">Выручка после налога</t>
  </si>
  <si>
    <t xml:space="preserve">ОПЕРАЦИОННЫЕ РАСХОДЫ ($)</t>
  </si>
  <si>
    <t xml:space="preserve">Тяж. экипажи (зарплаты+авто)</t>
  </si>
  <si>
    <t xml:space="preserve">Мини-визитёры</t>
  </si>
  <si>
    <t xml:space="preserve">Маркетинг + админ</t>
  </si>
  <si>
    <t xml:space="preserve">ИТОГО операционные расходы</t>
  </si>
  <si>
    <t xml:space="preserve">EBITDA</t>
  </si>
  <si>
    <t xml:space="preserve">EBITDA маржа, %</t>
  </si>
  <si>
    <t xml:space="preserve">КАПЕКС И ДЕНЕЖНЫЙ ПОТОК ($)</t>
  </si>
  <si>
    <t xml:space="preserve">Новых экипажей добавлено</t>
  </si>
  <si>
    <t xml:space="preserve">Новых визитёров добавлено</t>
  </si>
  <si>
    <t xml:space="preserve">Капекс (новый экипаж/визитёр + запуск Год1)</t>
  </si>
  <si>
    <t xml:space="preserve">Чистый денежный поток (EBITDA - Капекс)</t>
  </si>
  <si>
    <t xml:space="preserve">Накопленный кэш (до внешнего финансирования)</t>
  </si>
  <si>
    <t xml:space="preserve">СЦЕНАРИЙ: НОРМАЛЬНЫЙ — 220 КЛИЕНТОВ</t>
  </si>
  <si>
    <t xml:space="preserve">СЦЕНАРИЙ: ПОЗИТИВНЫЙ — 300 КЛИЕНТОВ</t>
  </si>
  <si>
    <t xml:space="preserve">Funding Ask — сравнение сценариев для Давида</t>
  </si>
  <si>
    <t xml:space="preserve">Клиенты, конец Года 1</t>
  </si>
  <si>
    <t xml:space="preserve">Выручка Год 1, после налога, $</t>
  </si>
  <si>
    <t xml:space="preserve">EBITDA Год 1, $</t>
  </si>
  <si>
    <t xml:space="preserve">Капекс Год 1, $</t>
  </si>
  <si>
    <t xml:space="preserve">Мин. накопленный кэш в течение Года 1 (пик потребности), $</t>
  </si>
  <si>
    <t xml:space="preserve">Рекомендуемый ask у Давида (|пик| x 1.15 буфер), $</t>
  </si>
  <si>
    <t xml:space="preserve">5-ЛЕТНИЙ ВЗГЛЯД — EBITDA ($) ПО СЦЕНАРИЯМ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</si>
  <si>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</si>
  <si>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</si>
  <si>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</si>
  <si>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</si>
  <si>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</si>
  <si>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5-ЛЕТНИЙ ВЗГЛЯД — КЛИЕНТЫ (EOY) ПО СЦЕНАРИЯМ</t>
  </si>
  <si>
    <t xml:space="preserve">Примечание: капекс Года 1 одинаков во всех сценариях (1 экипаж + запуск + мини-визитёр в Месяце 4) —</t>
  </si>
  <si>
    <t xml:space="preserve">разница в ask объясняется исключительно скоростью прихода выручки от новых клиентов, а не расходами.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</si>
</sst>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%"/>
    <numFmt numFmtId="167" formatCode="#,##0&quot; ֏&quot;"/>
    <numFmt numFmtId="168" formatCode="\$#,##0"/>
    <numFmt numFmtId="169" formatCode="#,##0.0"/>
    <numFmt numFmtId="170" formatCode="\$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i val="true"/>
      <sz val="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A111F"/>
        <bgColor rgb="FF000000"/>
      </patternFill>
    </fill>
    <fill>
      <patternFill patternType="solid">
        <fgColor rgb="FFD9D9D9"/>
        <bgColor rgb="FFC6E0B4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  <fill>
      <patternFill patternType="solid">
        <fgColor rgb="FFC6E0B4"/>
        <bgColor rgb="FFD9D9D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A111F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2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6"/>
    <col collapsed="false" customWidth="true" hidden="false" outlineLevel="0" max="7" min="7" style="0" width="46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/>
      <c r="C3" s="3"/>
    </row>
    <row r="4" customFormat="false" ht="15" hidden="false" customHeight="false" outlineLevel="0" collapsed="false">
      <c r="A4" s="4" t="s">
        <v>2</v>
      </c>
      <c r="B4" s="5" t="n">
        <v>365</v>
      </c>
    </row>
    <row r="5" customFormat="false" ht="15" hidden="false" customHeight="false" outlineLevel="0" collapsed="false">
      <c r="A5" s="4" t="s">
        <v>3</v>
      </c>
      <c r="B5" s="5" t="n">
        <v>26</v>
      </c>
    </row>
    <row r="6" customFormat="false" ht="15" hidden="false" customHeight="false" outlineLevel="0" collapsed="false">
      <c r="A6" s="4" t="s">
        <v>4</v>
      </c>
      <c r="B6" s="6" t="n">
        <v>0.1</v>
      </c>
    </row>
    <row r="8" customFormat="false" ht="15" hidden="false" customHeight="false" outlineLevel="0" collapsed="false">
      <c r="A8" s="2" t="s">
        <v>5</v>
      </c>
      <c r="B8" s="3"/>
      <c r="C8" s="3"/>
      <c r="D8" s="3"/>
      <c r="E8" s="3"/>
      <c r="F8" s="3"/>
    </row>
    <row r="9" customFormat="false" ht="15" hidden="false" customHeight="false" outlineLevel="0" collapsed="false">
      <c r="A9" s="7" t="s">
        <v>6</v>
      </c>
      <c r="B9" s="7" t="s">
        <v>7</v>
      </c>
      <c r="C9" s="7" t="s">
        <v>8</v>
      </c>
      <c r="D9" s="7" t="s">
        <v>9</v>
      </c>
      <c r="E9" s="7" t="s">
        <v>10</v>
      </c>
      <c r="F9" s="7" t="s">
        <v>11</v>
      </c>
    </row>
    <row r="10" customFormat="false" ht="15" hidden="false" customHeight="false" outlineLevel="0" collapsed="false">
      <c r="A10" s="8" t="s">
        <v>12</v>
      </c>
      <c r="B10" s="9" t="n">
        <v>80000</v>
      </c>
      <c r="C10" s="10" t="n">
        <f aca="false">B10/FX</f>
        <v>219.178082191781</v>
      </c>
      <c r="D10" s="11" t="n">
        <v>1</v>
      </c>
      <c r="E10" s="11" t="n">
        <v>0</v>
      </c>
      <c r="F10" s="12" t="n">
        <v>0.15</v>
      </c>
    </row>
    <row r="11" customFormat="false" ht="15" hidden="false" customHeight="false" outlineLevel="0" collapsed="false">
      <c r="A11" s="8" t="s">
        <v>13</v>
      </c>
      <c r="B11" s="9" t="n">
        <v>180000</v>
      </c>
      <c r="C11" s="10" t="n">
        <f aca="false">B11/FX</f>
        <v>493.150684931507</v>
      </c>
      <c r="D11" s="11" t="n">
        <v>2</v>
      </c>
      <c r="E11" s="11" t="n">
        <v>4</v>
      </c>
      <c r="F11" s="12" t="n">
        <v>0.55</v>
      </c>
    </row>
    <row r="12" customFormat="false" ht="15" hidden="false" customHeight="false" outlineLevel="0" collapsed="false">
      <c r="A12" s="8" t="s">
        <v>14</v>
      </c>
      <c r="B12" s="9" t="n">
        <v>240000</v>
      </c>
      <c r="C12" s="10" t="n">
        <f aca="false">B12/FX</f>
        <v>657.534246575342</v>
      </c>
      <c r="D12" s="11" t="n">
        <v>4</v>
      </c>
      <c r="E12" s="11" t="n">
        <v>8</v>
      </c>
      <c r="F12" s="12" t="n">
        <v>0.3</v>
      </c>
    </row>
    <row r="13" customFormat="false" ht="15" hidden="false" customHeight="false" outlineLevel="0" collapsed="false">
      <c r="A13" s="13" t="s">
        <v>15</v>
      </c>
      <c r="F13" s="14" t="n">
        <f aca="false">SUM(F10:F12)</f>
        <v>1</v>
      </c>
    </row>
    <row r="14" customFormat="false" ht="15" hidden="false" customHeight="false" outlineLevel="0" collapsed="false">
      <c r="A14" s="13" t="s">
        <v>16</v>
      </c>
      <c r="B14" s="15" t="n">
        <f aca="false">SUMPRODUCT(B10:B12,F10:F12)</f>
        <v>183000</v>
      </c>
      <c r="C14" s="16" t="n">
        <f aca="false">B14/FX</f>
        <v>501.369863013699</v>
      </c>
    </row>
    <row r="15" customFormat="false" ht="15" hidden="false" customHeight="false" outlineLevel="0" collapsed="false">
      <c r="A15" s="13" t="s">
        <v>17</v>
      </c>
      <c r="D15" s="17" t="n">
        <f aca="false">SUMPRODUCT(D10:D12,F10:F12)</f>
        <v>2.45</v>
      </c>
    </row>
    <row r="16" customFormat="false" ht="15" hidden="false" customHeight="false" outlineLevel="0" collapsed="false">
      <c r="A16" s="13" t="s">
        <v>18</v>
      </c>
      <c r="E16" s="17" t="n">
        <f aca="false">SUMPRODUCT(E10:E12,F10:F12)</f>
        <v>4.6</v>
      </c>
    </row>
    <row r="17" customFormat="false" ht="15" hidden="false" customHeight="false" outlineLevel="0" collapsed="false">
      <c r="A17" s="18" t="s">
        <v>19</v>
      </c>
    </row>
    <row r="18" customFormat="false" ht="15" hidden="false" customHeight="false" outlineLevel="0" collapsed="false">
      <c r="A18" s="2" t="s">
        <v>20</v>
      </c>
      <c r="B18" s="3"/>
      <c r="C18" s="3"/>
    </row>
    <row r="19" customFormat="false" ht="15" hidden="false" customHeight="false" outlineLevel="0" collapsed="false">
      <c r="A19" s="4" t="s">
        <v>21</v>
      </c>
      <c r="B19" s="19" t="n">
        <v>220000</v>
      </c>
    </row>
    <row r="20" customFormat="false" ht="15" hidden="false" customHeight="false" outlineLevel="0" collapsed="false">
      <c r="A20" s="4" t="s">
        <v>22</v>
      </c>
      <c r="B20" s="19" t="n">
        <v>260000</v>
      </c>
    </row>
    <row r="21" customFormat="false" ht="15" hidden="false" customHeight="false" outlineLevel="0" collapsed="false">
      <c r="A21" s="4" t="s">
        <v>23</v>
      </c>
      <c r="B21" s="5" t="n">
        <v>2</v>
      </c>
    </row>
    <row r="22" customFormat="false" ht="15" hidden="false" customHeight="false" outlineLevel="0" collapsed="false">
      <c r="A22" s="4" t="s">
        <v>24</v>
      </c>
      <c r="B22" s="5" t="n">
        <v>1</v>
      </c>
    </row>
    <row r="24" customFormat="false" ht="15" hidden="false" customHeight="false" outlineLevel="0" collapsed="false">
      <c r="A24" s="2" t="s">
        <v>25</v>
      </c>
      <c r="B24" s="3"/>
      <c r="C24" s="3"/>
    </row>
    <row r="25" customFormat="false" ht="15" hidden="false" customHeight="false" outlineLevel="0" collapsed="false">
      <c r="A25" s="4" t="s">
        <v>26</v>
      </c>
      <c r="B25" s="19" t="n">
        <v>220000</v>
      </c>
    </row>
    <row r="26" customFormat="false" ht="15" hidden="false" customHeight="false" outlineLevel="0" collapsed="false">
      <c r="A26" s="4" t="s">
        <v>27</v>
      </c>
      <c r="B26" s="19" t="n">
        <v>100000</v>
      </c>
    </row>
    <row r="28" customFormat="false" ht="15" hidden="false" customHeight="false" outlineLevel="0" collapsed="false">
      <c r="A28" s="2" t="s">
        <v>28</v>
      </c>
      <c r="B28" s="3"/>
      <c r="C28" s="3"/>
    </row>
    <row r="29" customFormat="false" ht="15" hidden="false" customHeight="false" outlineLevel="0" collapsed="false">
      <c r="A29" s="4" t="s">
        <v>29</v>
      </c>
      <c r="B29" s="20" t="n">
        <v>14000</v>
      </c>
    </row>
    <row r="30" customFormat="false" ht="15" hidden="false" customHeight="false" outlineLevel="0" collapsed="false">
      <c r="A30" s="4" t="s">
        <v>30</v>
      </c>
      <c r="B30" s="20" t="n">
        <v>325</v>
      </c>
    </row>
    <row r="31" customFormat="false" ht="15" hidden="false" customHeight="false" outlineLevel="0" collapsed="false">
      <c r="A31" s="4" t="s">
        <v>31</v>
      </c>
      <c r="B31" s="20" t="n">
        <v>2000</v>
      </c>
    </row>
    <row r="32" customFormat="false" ht="15" hidden="false" customHeight="false" outlineLevel="0" collapsed="false">
      <c r="A32" s="4" t="s">
        <v>32</v>
      </c>
      <c r="B32" s="20" t="n">
        <v>125</v>
      </c>
    </row>
    <row r="33" customFormat="false" ht="15" hidden="false" customHeight="false" outlineLevel="0" collapsed="false">
      <c r="A33" s="4" t="s">
        <v>33</v>
      </c>
      <c r="B33" s="20" t="n">
        <v>250</v>
      </c>
    </row>
    <row r="34" customFormat="false" ht="15" hidden="false" customHeight="false" outlineLevel="0" collapsed="false">
      <c r="A34" s="4" t="s">
        <v>34</v>
      </c>
      <c r="B34" s="20" t="n">
        <v>1000</v>
      </c>
    </row>
    <row r="36" customFormat="false" ht="15" hidden="false" customHeight="false" outlineLevel="0" collapsed="false">
      <c r="A36" s="2" t="s">
        <v>35</v>
      </c>
      <c r="B36" s="3"/>
      <c r="C36" s="3"/>
    </row>
    <row r="37" customFormat="false" ht="15" hidden="false" customHeight="false" outlineLevel="0" collapsed="false">
      <c r="A37" s="4"/>
      <c r="B37" s="4" t="s">
        <v>36</v>
      </c>
      <c r="C37" s="4" t="s">
        <v>37</v>
      </c>
    </row>
    <row r="38" customFormat="false" ht="15" hidden="false" customHeight="false" outlineLevel="0" collapsed="false">
      <c r="A38" s="4" t="s">
        <v>38</v>
      </c>
      <c r="B38" s="21" t="n">
        <v>5.5</v>
      </c>
      <c r="C38" s="21" t="n">
        <v>8.5</v>
      </c>
    </row>
    <row r="39" customFormat="false" ht="15" hidden="false" customHeight="false" outlineLevel="0" collapsed="false">
      <c r="A39" s="4" t="s">
        <v>39</v>
      </c>
      <c r="B39" s="21" t="n">
        <v>9</v>
      </c>
      <c r="C39" s="21" t="n">
        <v>14</v>
      </c>
    </row>
    <row r="41" customFormat="false" ht="15" hidden="false" customHeight="false" outlineLevel="0" collapsed="false">
      <c r="A41" s="2" t="s">
        <v>40</v>
      </c>
      <c r="B41" s="3"/>
      <c r="C41" s="3"/>
    </row>
    <row r="42" customFormat="false" ht="15" hidden="false" customHeight="false" outlineLevel="0" collapsed="false">
      <c r="A42" s="4" t="s">
        <v>41</v>
      </c>
      <c r="B42" s="20" t="n">
        <v>300</v>
      </c>
    </row>
    <row r="43" customFormat="false" ht="15" hidden="false" customHeight="false" outlineLevel="0" collapsed="false">
      <c r="A43" s="4" t="s">
        <v>42</v>
      </c>
      <c r="B43" s="20" t="n">
        <v>100</v>
      </c>
    </row>
    <row r="44" customFormat="false" ht="15" hidden="false" customHeight="false" outlineLevel="0" collapsed="false">
      <c r="A44" s="4" t="s">
        <v>43</v>
      </c>
      <c r="B44" s="20" t="n">
        <v>150</v>
      </c>
    </row>
    <row r="45" customFormat="false" ht="15" hidden="false" customHeight="false" outlineLevel="0" collapsed="false">
      <c r="A45" s="4" t="s">
        <v>44</v>
      </c>
      <c r="B45" s="20" t="n">
        <v>50</v>
      </c>
    </row>
    <row r="47" customFormat="false" ht="15" hidden="false" customHeight="false" outlineLevel="0" collapsed="false">
      <c r="A47" s="2" t="s">
        <v>45</v>
      </c>
      <c r="B47" s="3"/>
      <c r="C47" s="3"/>
    </row>
    <row r="48" customFormat="false" ht="15" hidden="false" customHeight="false" outlineLevel="0" collapsed="false">
      <c r="A48" s="4" t="s">
        <v>46</v>
      </c>
      <c r="B48" s="6" t="n">
        <v>0.15</v>
      </c>
    </row>
    <row r="49" customFormat="false" ht="15" hidden="false" customHeight="false" outlineLevel="0" collapsed="false">
      <c r="A49" s="4" t="s">
        <v>47</v>
      </c>
      <c r="B49" s="6" t="n">
        <v>0.45</v>
      </c>
    </row>
    <row r="50" customFormat="false" ht="15" hidden="false" customHeight="false" outlineLevel="0" collapsed="false">
      <c r="A50" s="4" t="s">
        <v>48</v>
      </c>
      <c r="B50" s="6" t="n">
        <v>0.3</v>
      </c>
    </row>
    <row r="51" customFormat="false" ht="15" hidden="false" customHeight="false" outlineLevel="0" collapsed="false">
      <c r="A51" s="4" t="s">
        <v>49</v>
      </c>
      <c r="B51" s="6" t="n">
        <v>0.2</v>
      </c>
    </row>
    <row r="52" customFormat="false" ht="15" hidden="false" customHeight="false" outlineLevel="0" collapsed="false">
      <c r="A52" s="4" t="s">
        <v>50</v>
      </c>
      <c r="B52" s="6" t="n">
        <v>0.15</v>
      </c>
    </row>
    <row r="54" customFormat="false" ht="15" hidden="false" customHeight="false" outlineLevel="0" collapsed="false">
      <c r="A54" s="2" t="s">
        <v>51</v>
      </c>
      <c r="B54" s="3"/>
      <c r="C54" s="3"/>
    </row>
    <row r="55" customFormat="false" ht="15" hidden="false" customHeight="false" outlineLevel="0" collapsed="false">
      <c r="A55" s="4" t="s">
        <v>52</v>
      </c>
      <c r="B55" s="22" t="n">
        <v>160</v>
      </c>
    </row>
    <row r="56" customFormat="false" ht="15" hidden="false" customHeight="false" outlineLevel="0" collapsed="false">
      <c r="A56" s="4" t="s">
        <v>53</v>
      </c>
      <c r="B56" s="23" t="n">
        <v>220</v>
      </c>
    </row>
    <row r="57" customFormat="false" ht="15" hidden="false" customHeight="false" outlineLevel="0" collapsed="false">
      <c r="A57" s="4" t="s">
        <v>54</v>
      </c>
      <c r="B57" s="24" t="n">
        <v>300</v>
      </c>
    </row>
    <row r="59" customFormat="false" ht="15" hidden="false" customHeight="false" outlineLevel="0" collapsed="false">
      <c r="A59" s="18" t="s">
        <v>55</v>
      </c>
    </row>
    <row r="60" customFormat="false" ht="15" hidden="false" customHeight="false" outlineLevel="0" collapsed="false">
      <c r="A60" s="18" t="s">
        <v>56</v>
      </c>
    </row>
    <row r="61" customFormat="false" ht="15" hidden="false" customHeight="false" outlineLevel="0" collapsed="false">
      <c r="A61" s="18" t="s">
        <v>57</v>
      </c>
    </row>
    <row r="62" customFormat="false" ht="15" hidden="false" customHeight="false" outlineLevel="0" collapsed="false">
      <c r="A62" s="4" t="s">
        <v>58</v>
      </c>
      <c r="B62" s="5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7" min="2" style="0" width="16"/>
  </cols>
  <sheetData>
    <row r="1" customFormat="false" ht="16.15" hidden="false" customHeight="false" outlineLevel="0" collapsed="false">
      <c r="A1" s="1" t="s">
        <v>59</v>
      </c>
    </row>
    <row r="3" customFormat="false" ht="15" hidden="false" customHeight="false" outlineLevel="0" collapsed="false">
      <c r="A3" s="2" t="s">
        <v>60</v>
      </c>
      <c r="B3" s="3"/>
      <c r="C3" s="3"/>
    </row>
    <row r="4" customFormat="false" ht="15" hidden="false" customHeight="false" outlineLevel="0" collapsed="false">
      <c r="A4" s="4" t="s">
        <v>61</v>
      </c>
      <c r="B4" s="25" t="n">
        <f aca="false">(WORKER_SAL*N_WORKERS+DRIVER_SAL*N_DRIVERS)*12/FX</f>
        <v>23013.698630137</v>
      </c>
    </row>
    <row r="5" customFormat="false" ht="15" hidden="false" customHeight="false" outlineLevel="0" collapsed="false">
      <c r="A5" s="4" t="s">
        <v>62</v>
      </c>
      <c r="B5" s="25" t="n">
        <f aca="false">VAN_RUN*12</f>
        <v>3900</v>
      </c>
    </row>
    <row r="6" customFormat="false" ht="15" hidden="false" customHeight="false" outlineLevel="0" collapsed="false">
      <c r="A6" s="13" t="s">
        <v>63</v>
      </c>
      <c r="B6" s="16" t="n">
        <f aca="false">B4+B5</f>
        <v>26913.698630137</v>
      </c>
    </row>
    <row r="8" customFormat="false" ht="15" hidden="false" customHeight="false" outlineLevel="0" collapsed="false">
      <c r="A8" s="4" t="s">
        <v>64</v>
      </c>
      <c r="B8" s="25" t="n">
        <f aca="false">(MINI_SAL+MINI_ALLOW)*12/FX</f>
        <v>10520.5479452055</v>
      </c>
    </row>
    <row r="9" customFormat="false" ht="15" hidden="false" customHeight="false" outlineLevel="0" collapsed="false">
      <c r="A9" s="4" t="s">
        <v>65</v>
      </c>
      <c r="B9" s="25" t="n">
        <f aca="false">MINI_RUN*12</f>
        <v>1500</v>
      </c>
    </row>
    <row r="10" customFormat="false" ht="15" hidden="false" customHeight="false" outlineLevel="0" collapsed="false">
      <c r="A10" s="13" t="s">
        <v>66</v>
      </c>
      <c r="B10" s="16" t="n">
        <f aca="false">B8+B9</f>
        <v>12020.5479452055</v>
      </c>
    </row>
    <row r="12" customFormat="false" ht="15" hidden="false" customHeight="false" outlineLevel="0" collapsed="false">
      <c r="A12" s="2" t="s">
        <v>67</v>
      </c>
      <c r="B12" s="3"/>
      <c r="C12" s="3"/>
    </row>
    <row r="13" customFormat="false" ht="15" hidden="false" customHeight="false" outlineLevel="0" collapsed="false">
      <c r="A13" s="4" t="s">
        <v>68</v>
      </c>
      <c r="B13" s="26" t="n">
        <f aca="false">FULL_PTS_DISP*WORKDAYS*12</f>
        <v>1716</v>
      </c>
    </row>
    <row r="14" customFormat="false" ht="15" hidden="false" customHeight="false" outlineLevel="0" collapsed="false">
      <c r="A14" s="4" t="s">
        <v>69</v>
      </c>
      <c r="B14" s="26" t="n">
        <f aca="false">FULL_PTS_CLUST*WORKDAYS*12</f>
        <v>2652</v>
      </c>
    </row>
    <row r="15" customFormat="false" ht="15" hidden="false" customHeight="false" outlineLevel="0" collapsed="false">
      <c r="A15" s="4" t="s">
        <v>70</v>
      </c>
      <c r="B15" s="26" t="n">
        <f aca="false">MINI_PTS_DISP*WORKDAYS*12</f>
        <v>2808</v>
      </c>
    </row>
    <row r="16" customFormat="false" ht="15" hidden="false" customHeight="false" outlineLevel="0" collapsed="false">
      <c r="A16" s="4" t="s">
        <v>71</v>
      </c>
      <c r="B16" s="26" t="n">
        <f aca="false">MINI_PTS_CLUST*WORKDAYS*12</f>
        <v>4368</v>
      </c>
    </row>
    <row r="18" customFormat="false" ht="15" hidden="false" customHeight="false" outlineLevel="0" collapsed="false">
      <c r="A18" s="2" t="s">
        <v>72</v>
      </c>
      <c r="B18" s="3"/>
      <c r="C18" s="3"/>
    </row>
    <row r="19" customFormat="false" ht="15" hidden="false" customHeight="false" outlineLevel="0" collapsed="false">
      <c r="A19" s="4" t="s">
        <v>73</v>
      </c>
      <c r="B19" s="27" t="n">
        <f aca="false">BLEND_HVISITS</f>
        <v>2.45</v>
      </c>
    </row>
    <row r="20" customFormat="false" ht="15" hidden="false" customHeight="false" outlineLevel="0" collapsed="false">
      <c r="A20" s="4" t="s">
        <v>74</v>
      </c>
      <c r="B20" s="27" t="n">
        <f aca="false">BLEND_LVISITS</f>
        <v>4.6</v>
      </c>
    </row>
    <row r="21" customFormat="false" ht="15" hidden="false" customHeight="false" outlineLevel="0" collapsed="false">
      <c r="A21" s="13" t="s">
        <v>75</v>
      </c>
      <c r="B21" s="28" t="n">
        <f aca="false">B13/B19</f>
        <v>700.408163265306</v>
      </c>
    </row>
    <row r="22" customFormat="false" ht="15" hidden="false" customHeight="false" outlineLevel="0" collapsed="false">
      <c r="A22" s="13" t="s">
        <v>76</v>
      </c>
      <c r="B22" s="28" t="n">
        <f aca="false">B15/B20</f>
        <v>610.434782608696</v>
      </c>
    </row>
    <row r="23" customFormat="false" ht="15" hidden="false" customHeight="false" outlineLevel="0" collapsed="false">
      <c r="A23" s="29" t="s">
        <v>77</v>
      </c>
      <c r="B23" s="30" t="n">
        <f aca="false">MIN(B21,B22)</f>
        <v>610.434782608696</v>
      </c>
    </row>
    <row r="25" customFormat="false" ht="15" hidden="false" customHeight="false" outlineLevel="0" collapsed="false">
      <c r="A25" s="18" t="s">
        <v>78</v>
      </c>
    </row>
    <row r="26" customFormat="false" ht="15" hidden="false" customHeight="false" outlineLevel="0" collapsed="false">
      <c r="A26" s="18" t="s">
        <v>79</v>
      </c>
    </row>
    <row r="27" customFormat="false" ht="15" hidden="false" customHeight="false" outlineLevel="0" collapsed="false">
      <c r="A27" s="18" t="s">
        <v>80</v>
      </c>
    </row>
    <row r="28" customFormat="false" ht="15" hidden="false" customHeight="false" outlineLevel="0" collapsed="false">
      <c r="A28" s="18" t="s">
        <v>81</v>
      </c>
    </row>
    <row r="30" customFormat="false" ht="15" hidden="false" customHeight="false" outlineLevel="0" collapsed="false">
      <c r="A30" s="2" t="s">
        <v>82</v>
      </c>
      <c r="B30" s="3"/>
      <c r="C30" s="3"/>
      <c r="D30" s="3"/>
      <c r="E30" s="3"/>
      <c r="F30" s="3"/>
    </row>
    <row r="31" customFormat="false" ht="15" hidden="false" customHeight="false" outlineLevel="0" collapsed="false">
      <c r="A31" s="4"/>
      <c r="B31" s="7" t="s">
        <v>83</v>
      </c>
      <c r="C31" s="7" t="s">
        <v>84</v>
      </c>
      <c r="D31" s="7" t="s">
        <v>85</v>
      </c>
      <c r="E31" s="7" t="s">
        <v>86</v>
      </c>
      <c r="F31" s="7" t="s">
        <v>87</v>
      </c>
    </row>
    <row r="32" customFormat="false" ht="15" hidden="false" customHeight="false" outlineLevel="0" collapsed="false">
      <c r="A32" s="8" t="s">
        <v>88</v>
      </c>
      <c r="B32" s="11" t="n">
        <v>1</v>
      </c>
      <c r="C32" s="11" t="n">
        <v>1</v>
      </c>
      <c r="D32" s="11" t="n">
        <v>2</v>
      </c>
      <c r="E32" s="11" t="n">
        <v>2</v>
      </c>
      <c r="F32" s="11" t="n">
        <v>2</v>
      </c>
    </row>
    <row r="33" customFormat="false" ht="15" hidden="false" customHeight="false" outlineLevel="0" collapsed="false">
      <c r="A33" s="8" t="s">
        <v>89</v>
      </c>
      <c r="B33" s="11" t="n">
        <v>1</v>
      </c>
      <c r="C33" s="11" t="n">
        <v>1</v>
      </c>
      <c r="D33" s="11" t="n">
        <v>2</v>
      </c>
      <c r="E33" s="11" t="n">
        <v>2</v>
      </c>
      <c r="F33" s="11" t="n">
        <v>3</v>
      </c>
    </row>
    <row r="34" customFormat="false" ht="15" hidden="false" customHeight="false" outlineLevel="0" collapsed="false">
      <c r="A34" s="8" t="s">
        <v>90</v>
      </c>
      <c r="B34" s="11" t="n">
        <v>1</v>
      </c>
      <c r="C34" s="11" t="n">
        <v>1</v>
      </c>
      <c r="D34" s="11" t="n">
        <v>1</v>
      </c>
      <c r="E34" s="11" t="n">
        <v>1</v>
      </c>
      <c r="F34" s="11" t="n">
        <v>1</v>
      </c>
    </row>
    <row r="35" customFormat="false" ht="15" hidden="false" customHeight="false" outlineLevel="0" collapsed="false">
      <c r="A35" s="8" t="s">
        <v>91</v>
      </c>
      <c r="B35" s="31" t="n">
        <f aca="false">(B32)*IF(B34=1,B14,B13)/B19</f>
        <v>1082.44897959184</v>
      </c>
      <c r="C35" s="31" t="n">
        <f aca="false">(C32)*IF(C34=1,B14,B13)/B19</f>
        <v>1082.44897959184</v>
      </c>
      <c r="D35" s="31" t="n">
        <f aca="false">(D32)*IF(D34=1,B14,B13)/B19</f>
        <v>2164.89795918367</v>
      </c>
      <c r="E35" s="31" t="n">
        <f aca="false">(E32)*IF(E34=1,B14,B13)/B19</f>
        <v>2164.89795918367</v>
      </c>
      <c r="F35" s="31" t="n">
        <f aca="false">(F32)*IF(F34=1,B14,B13)/B19</f>
        <v>2164.89795918367</v>
      </c>
    </row>
    <row r="36" customFormat="false" ht="15" hidden="false" customHeight="false" outlineLevel="0" collapsed="false">
      <c r="A36" s="8" t="s">
        <v>92</v>
      </c>
      <c r="B36" s="31" t="n">
        <f aca="false">(B33)*IF(B34=1,B16,B15)/B20</f>
        <v>949.565217391304</v>
      </c>
      <c r="C36" s="31" t="n">
        <f aca="false">(C33)*IF(C34=1,B16,B15)/B20</f>
        <v>949.565217391304</v>
      </c>
      <c r="D36" s="31" t="n">
        <f aca="false">(D33)*IF(D34=1,B16,B15)/B20</f>
        <v>1899.13043478261</v>
      </c>
      <c r="E36" s="31" t="n">
        <f aca="false">(E33)*IF(E34=1,B16,B15)/B20</f>
        <v>1899.13043478261</v>
      </c>
      <c r="F36" s="31" t="n">
        <f aca="false">(F33)*IF(F34=1,B16,B15)/B20</f>
        <v>2848.69565217391</v>
      </c>
    </row>
    <row r="37" customFormat="false" ht="15" hidden="false" customHeight="false" outlineLevel="0" collapsed="false">
      <c r="A37" s="32" t="s">
        <v>93</v>
      </c>
      <c r="B37" s="33" t="n">
        <f aca="false">MIN(B35,B36)</f>
        <v>949.565217391304</v>
      </c>
      <c r="C37" s="33" t="n">
        <f aca="false">MIN(C35,C36)</f>
        <v>949.565217391304</v>
      </c>
      <c r="D37" s="33" t="n">
        <f aca="false">MIN(D35,D36)</f>
        <v>1899.13043478261</v>
      </c>
      <c r="E37" s="33" t="n">
        <f aca="false">MIN(E35,E36)</f>
        <v>1899.13043478261</v>
      </c>
      <c r="F37" s="33" t="n">
        <f aca="false">MIN(F35,F36)</f>
        <v>2164.89795918367</v>
      </c>
    </row>
    <row r="39" customFormat="false" ht="15" hidden="false" customHeight="false" outlineLevel="0" collapsed="false">
      <c r="A39" s="2" t="s">
        <v>94</v>
      </c>
      <c r="B39" s="3"/>
      <c r="C39" s="3"/>
      <c r="D39" s="3"/>
    </row>
    <row r="40" customFormat="false" ht="15" hidden="false" customHeight="false" outlineLevel="0" collapsed="false">
      <c r="A40" s="7" t="s">
        <v>95</v>
      </c>
      <c r="B40" s="7" t="s">
        <v>96</v>
      </c>
      <c r="C40" s="7" t="s">
        <v>97</v>
      </c>
      <c r="D40" s="7" t="s">
        <v>98</v>
      </c>
      <c r="E40" s="7" t="s">
        <v>99</v>
      </c>
    </row>
    <row r="41" customFormat="false" ht="15" hidden="false" customHeight="false" outlineLevel="0" collapsed="false">
      <c r="A41" s="8" t="s">
        <v>100</v>
      </c>
      <c r="B41" s="11" t="n">
        <v>1</v>
      </c>
      <c r="C41" s="11" t="n">
        <v>1</v>
      </c>
      <c r="D41" s="11" t="n">
        <v>0</v>
      </c>
      <c r="E41" s="34" t="n">
        <f aca="false">MIN(B41*IF(D41=1,B14,B13)/B19,C41*IF(D41=1,B16,B15)/B20)</f>
        <v>610.434782608696</v>
      </c>
    </row>
    <row r="42" customFormat="false" ht="15" hidden="false" customHeight="false" outlineLevel="0" collapsed="false">
      <c r="A42" s="8" t="s">
        <v>101</v>
      </c>
      <c r="B42" s="11" t="n">
        <v>1</v>
      </c>
      <c r="C42" s="11" t="n">
        <v>2</v>
      </c>
      <c r="D42" s="11" t="n">
        <v>0</v>
      </c>
      <c r="E42" s="34" t="n">
        <f aca="false">MIN(B42*IF(D42=1,B14,B13)/B19,C42*IF(D42=1,B16,B15)/B20)</f>
        <v>700.408163265306</v>
      </c>
    </row>
    <row r="43" customFormat="false" ht="15" hidden="false" customHeight="false" outlineLevel="0" collapsed="false">
      <c r="A43" s="8" t="s">
        <v>102</v>
      </c>
      <c r="B43" s="11" t="n">
        <v>2</v>
      </c>
      <c r="C43" s="11" t="n">
        <v>2</v>
      </c>
      <c r="D43" s="11" t="n">
        <v>1</v>
      </c>
      <c r="E43" s="34" t="n">
        <f aca="false">MIN(B43*IF(D43=1,B14,B13)/B19,C43*IF(D43=1,B16,B15)/B20)</f>
        <v>1899.13043478261</v>
      </c>
    </row>
    <row r="45" customFormat="false" ht="15" hidden="false" customHeight="false" outlineLevel="0" collapsed="false">
      <c r="A45" s="18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8"/>
  </cols>
  <sheetData>
    <row r="1" customFormat="false" ht="16.15" hidden="false" customHeight="false" outlineLevel="0" collapsed="false">
      <c r="A1" s="1" t="s">
        <v>104</v>
      </c>
    </row>
    <row r="3" customFormat="false" ht="15" hidden="false" customHeight="false" outlineLevel="0" collapsed="false">
      <c r="A3" s="2" t="s">
        <v>105</v>
      </c>
      <c r="B3" s="3"/>
      <c r="C3" s="3"/>
    </row>
    <row r="4" customFormat="false" ht="15" hidden="false" customHeight="false" outlineLevel="0" collapsed="false">
      <c r="A4" s="4" t="s">
        <v>106</v>
      </c>
      <c r="B4" s="35" t="n">
        <f aca="false">FULL_ANNUAL_COST/'Capacity Model'!B13</f>
        <v>15.6839735606859</v>
      </c>
    </row>
    <row r="5" customFormat="false" ht="15" hidden="false" customHeight="false" outlineLevel="0" collapsed="false">
      <c r="A5" s="4" t="s">
        <v>107</v>
      </c>
      <c r="B5" s="35" t="n">
        <f aca="false">MINI_ANNUAL_COST/'Capacity Model'!B15</f>
        <v>4.28082191780822</v>
      </c>
    </row>
    <row r="7" customFormat="false" ht="15" hidden="false" customHeight="false" outlineLevel="0" collapsed="false">
      <c r="A7" s="2" t="s">
        <v>108</v>
      </c>
      <c r="B7" s="3"/>
      <c r="C7" s="3"/>
      <c r="D7" s="3"/>
      <c r="E7" s="3"/>
    </row>
    <row r="8" customFormat="false" ht="15" hidden="false" customHeight="false" outlineLevel="0" collapsed="false">
      <c r="A8" s="7"/>
      <c r="B8" s="7" t="s">
        <v>109</v>
      </c>
      <c r="C8" s="7" t="s">
        <v>110</v>
      </c>
      <c r="D8" s="7" t="s">
        <v>111</v>
      </c>
      <c r="E8" s="7" t="s">
        <v>112</v>
      </c>
    </row>
    <row r="9" customFormat="false" ht="15" hidden="false" customHeight="false" outlineLevel="0" collapsed="false">
      <c r="A9" s="8" t="s">
        <v>113</v>
      </c>
      <c r="B9" s="36" t="n">
        <f aca="false">PRICE_EXPRESS</f>
        <v>80000</v>
      </c>
      <c r="C9" s="36" t="n">
        <f aca="false">PRICE_OPTIMAL</f>
        <v>180000</v>
      </c>
      <c r="D9" s="36" t="n">
        <f aca="false">PRICE_MAX</f>
        <v>240000</v>
      </c>
      <c r="E9" s="36" t="n">
        <f aca="false">BLEND_PRICE_AMD</f>
        <v>183000</v>
      </c>
    </row>
    <row r="10" customFormat="false" ht="15" hidden="false" customHeight="false" outlineLevel="0" collapsed="false">
      <c r="A10" s="8" t="s">
        <v>114</v>
      </c>
      <c r="B10" s="36" t="n">
        <f aca="false">B9*(1-TAX_RATE)</f>
        <v>72000</v>
      </c>
      <c r="C10" s="36" t="n">
        <f aca="false">C9*(1-TAX_RATE)</f>
        <v>162000</v>
      </c>
      <c r="D10" s="36" t="n">
        <f aca="false">D9*(1-TAX_RATE)</f>
        <v>216000</v>
      </c>
      <c r="E10" s="36" t="n">
        <f aca="false">E9*(1-TAX_RATE)</f>
        <v>164700</v>
      </c>
    </row>
    <row r="11" customFormat="false" ht="15" hidden="false" customHeight="false" outlineLevel="0" collapsed="false">
      <c r="A11" s="8" t="s">
        <v>9</v>
      </c>
      <c r="B11" s="31" t="n">
        <f aca="false">HV_EXPRESS</f>
        <v>1</v>
      </c>
      <c r="C11" s="31" t="n">
        <f aca="false">HV_OPTIMAL</f>
        <v>2</v>
      </c>
      <c r="D11" s="31" t="n">
        <f aca="false">HV_MAX</f>
        <v>4</v>
      </c>
      <c r="E11" s="37" t="n">
        <f aca="false">BLEND_HVISITS</f>
        <v>2.45</v>
      </c>
    </row>
    <row r="12" customFormat="false" ht="15" hidden="false" customHeight="false" outlineLevel="0" collapsed="false">
      <c r="A12" s="8" t="s">
        <v>10</v>
      </c>
      <c r="B12" s="31" t="n">
        <f aca="false">LV_EXPRESS</f>
        <v>0</v>
      </c>
      <c r="C12" s="31" t="n">
        <f aca="false">LV_OPTIMAL</f>
        <v>4</v>
      </c>
      <c r="D12" s="31" t="n">
        <f aca="false">LV_MAX</f>
        <v>8</v>
      </c>
      <c r="E12" s="37" t="n">
        <f aca="false">BLEND_LVISITS</f>
        <v>4.6</v>
      </c>
    </row>
    <row r="13" customFormat="false" ht="15" hidden="false" customHeight="false" outlineLevel="0" collapsed="false">
      <c r="A13" s="8" t="s">
        <v>115</v>
      </c>
      <c r="B13" s="36" t="n">
        <f aca="false">(B11*$B$4+B12*$B$5)*FX</f>
        <v>5724.65034965035</v>
      </c>
      <c r="C13" s="36" t="n">
        <f aca="false">(C11*$B$4+C12*$B$5)*FX</f>
        <v>17699.3006993007</v>
      </c>
      <c r="D13" s="36" t="n">
        <f aca="false">(D11*$B$4+D12*$B$5)*FX</f>
        <v>35398.6013986014</v>
      </c>
      <c r="E13" s="36" t="n">
        <f aca="false">(E11*$B$4+E12*$B$5)*FX</f>
        <v>21212.8933566434</v>
      </c>
    </row>
    <row r="14" customFormat="false" ht="15" hidden="false" customHeight="false" outlineLevel="0" collapsed="false">
      <c r="A14" s="32" t="s">
        <v>116</v>
      </c>
      <c r="B14" s="38" t="n">
        <f aca="false">B10-B13</f>
        <v>66275.3496503496</v>
      </c>
      <c r="C14" s="38" t="n">
        <f aca="false">C10-C13</f>
        <v>144300.699300699</v>
      </c>
      <c r="D14" s="38" t="n">
        <f aca="false">D10-D13</f>
        <v>180601.398601399</v>
      </c>
      <c r="E14" s="38" t="n">
        <f aca="false">E10-E13</f>
        <v>143487.106643357</v>
      </c>
    </row>
    <row r="15" customFormat="false" ht="15" hidden="false" customHeight="false" outlineLevel="0" collapsed="false">
      <c r="A15" s="39" t="s">
        <v>117</v>
      </c>
      <c r="B15" s="40" t="n">
        <f aca="false">B14/B10</f>
        <v>0.920490967365967</v>
      </c>
      <c r="C15" s="40" t="n">
        <f aca="false">C14/C10</f>
        <v>0.890745057411724</v>
      </c>
      <c r="D15" s="40" t="n">
        <f aca="false">D14/D10</f>
        <v>0.836117586117586</v>
      </c>
      <c r="E15" s="40" t="n">
        <f aca="false">E14/E10</f>
        <v>0.871202833292997</v>
      </c>
    </row>
    <row r="17" customFormat="false" ht="15" hidden="false" customHeight="false" outlineLevel="0" collapsed="false">
      <c r="A17" s="8" t="s">
        <v>118</v>
      </c>
      <c r="B17" s="41" t="n">
        <f aca="false">Assumptions!F10</f>
        <v>0.15</v>
      </c>
      <c r="C17" s="41" t="n">
        <f aca="false">Assumptions!F11</f>
        <v>0.55</v>
      </c>
      <c r="D17" s="41" t="n">
        <f aca="false">Assumptions!F12</f>
        <v>0.3</v>
      </c>
      <c r="E17" s="41" t="n">
        <f aca="false">SUM(B17:D17)</f>
        <v>1</v>
      </c>
    </row>
    <row r="19" customFormat="false" ht="15" hidden="false" customHeight="false" outlineLevel="0" collapsed="false">
      <c r="A19" s="18" t="s">
        <v>119</v>
      </c>
    </row>
    <row r="20" customFormat="false" ht="15" hidden="false" customHeight="false" outlineLevel="0" collapsed="false">
      <c r="A20" s="18" t="s">
        <v>120</v>
      </c>
    </row>
    <row r="21" customFormat="false" ht="15" hidden="false" customHeight="false" outlineLevel="0" collapsed="false">
      <c r="A21" s="18" t="s">
        <v>121</v>
      </c>
    </row>
    <row r="22" customFormat="false" ht="15" hidden="false" customHeight="false" outlineLevel="0" collapsed="false">
      <c r="A22" s="18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10" min="2" style="0" width="14"/>
    <col collapsed="false" customWidth="true" hidden="false" outlineLevel="0" max="20" min="12" style="0" width="14"/>
    <col collapsed="false" customWidth="true" hidden="false" outlineLevel="0" max="30" min="22" style="0" width="14"/>
  </cols>
  <sheetData>
    <row r="1" customFormat="false" ht="16.15" hidden="false" customHeight="false" outlineLevel="0" collapsed="false">
      <c r="A1" s="1" t="s">
        <v>123</v>
      </c>
      <c r="B1" s="42" t="s">
        <v>124</v>
      </c>
      <c r="C1" s="43"/>
      <c r="D1" s="43"/>
      <c r="E1" s="43"/>
      <c r="F1" s="43"/>
      <c r="G1" s="43"/>
      <c r="H1" s="43"/>
      <c r="I1" s="43"/>
      <c r="J1" s="43"/>
      <c r="L1" s="44" t="s">
        <v>125</v>
      </c>
      <c r="M1" s="45"/>
      <c r="N1" s="45"/>
      <c r="O1" s="45"/>
      <c r="P1" s="45"/>
      <c r="Q1" s="45"/>
      <c r="R1" s="45"/>
      <c r="S1" s="45"/>
      <c r="T1" s="45"/>
      <c r="V1" s="46" t="s">
        <v>126</v>
      </c>
      <c r="W1" s="47"/>
      <c r="X1" s="47"/>
      <c r="Y1" s="47"/>
      <c r="Z1" s="47"/>
      <c r="AA1" s="47"/>
      <c r="AB1" s="47"/>
      <c r="AC1" s="47"/>
      <c r="AD1" s="47"/>
    </row>
    <row r="2" customFormat="false" ht="39.55" hidden="false" customHeight="false" outlineLevel="0" collapsed="false">
      <c r="A2" s="7" t="s">
        <v>127</v>
      </c>
      <c r="B2" s="48" t="s">
        <v>128</v>
      </c>
      <c r="C2" s="48" t="s">
        <v>129</v>
      </c>
      <c r="D2" s="48" t="s">
        <v>130</v>
      </c>
      <c r="E2" s="48" t="s">
        <v>131</v>
      </c>
      <c r="F2" s="48" t="s">
        <v>132</v>
      </c>
      <c r="G2" s="48" t="s">
        <v>133</v>
      </c>
      <c r="H2" s="48" t="s">
        <v>134</v>
      </c>
      <c r="I2" s="48" t="s">
        <v>135</v>
      </c>
      <c r="J2" s="48" t="s">
        <v>136</v>
      </c>
      <c r="L2" s="48" t="s">
        <v>128</v>
      </c>
      <c r="M2" s="48" t="s">
        <v>129</v>
      </c>
      <c r="N2" s="48" t="s">
        <v>130</v>
      </c>
      <c r="O2" s="48" t="s">
        <v>131</v>
      </c>
      <c r="P2" s="48" t="s">
        <v>132</v>
      </c>
      <c r="Q2" s="48" t="s">
        <v>133</v>
      </c>
      <c r="R2" s="48" t="s">
        <v>134</v>
      </c>
      <c r="S2" s="48" t="s">
        <v>135</v>
      </c>
      <c r="T2" s="48" t="s">
        <v>136</v>
      </c>
      <c r="V2" s="48" t="s">
        <v>128</v>
      </c>
      <c r="W2" s="48" t="s">
        <v>129</v>
      </c>
      <c r="X2" s="48" t="s">
        <v>130</v>
      </c>
      <c r="Y2" s="48" t="s">
        <v>131</v>
      </c>
      <c r="Z2" s="48" t="s">
        <v>132</v>
      </c>
      <c r="AA2" s="48" t="s">
        <v>133</v>
      </c>
      <c r="AB2" s="48" t="s">
        <v>134</v>
      </c>
      <c r="AC2" s="48" t="s">
        <v>135</v>
      </c>
      <c r="AD2" s="48" t="s">
        <v>136</v>
      </c>
    </row>
    <row r="3" customFormat="false" ht="15" hidden="false" customHeight="false" outlineLevel="0" collapsed="false">
      <c r="A3" s="49" t="n">
        <v>1</v>
      </c>
      <c r="B3" s="11" t="n">
        <v>5</v>
      </c>
      <c r="C3" s="31" t="n">
        <f aca="false">B3</f>
        <v>5</v>
      </c>
      <c r="D3" s="36" t="n">
        <f aca="false">B3*BLEND_PRICE_AMD</f>
        <v>915000</v>
      </c>
      <c r="E3" s="10" t="n">
        <f aca="false">FULL_ANNUAL_COST/12</f>
        <v>2242.80821917808</v>
      </c>
      <c r="F3" s="10" t="n">
        <f aca="false">IF(1&gt;=MINI_HIRE_MONTH,MINI_ANNUAL_COST/12,0)</f>
        <v>0</v>
      </c>
      <c r="G3" s="10" t="n">
        <f aca="false">MKT_Y1+ADMIN_Y1</f>
        <v>450</v>
      </c>
      <c r="H3" s="10" t="n">
        <f aca="false">LAUNCH_COST+CREW_TOOLKIT+VAN_PRICE</f>
        <v>17000</v>
      </c>
      <c r="I3" s="10" t="n">
        <f aca="false">D3/FX-E3-F3-G3-H3</f>
        <v>-17185.9589041096</v>
      </c>
      <c r="J3" s="10" t="n">
        <f aca="false">I3</f>
        <v>-17185.9589041096</v>
      </c>
      <c r="L3" s="11" t="n">
        <v>7</v>
      </c>
      <c r="M3" s="31" t="n">
        <f aca="false">L3</f>
        <v>7</v>
      </c>
      <c r="N3" s="36" t="n">
        <f aca="false">L3*BLEND_PRICE_AMD</f>
        <v>1281000</v>
      </c>
      <c r="O3" s="10" t="n">
        <f aca="false">FULL_ANNUAL_COST/12</f>
        <v>2242.80821917808</v>
      </c>
      <c r="P3" s="10" t="n">
        <f aca="false">IF(1&gt;=MINI_HIRE_MONTH,MINI_ANNUAL_COST/12,0)</f>
        <v>0</v>
      </c>
      <c r="Q3" s="10" t="n">
        <f aca="false">MKT_Y1+ADMIN_Y1</f>
        <v>450</v>
      </c>
      <c r="R3" s="10" t="n">
        <f aca="false">LAUNCH_COST+CREW_TOOLKIT+VAN_PRICE</f>
        <v>17000</v>
      </c>
      <c r="S3" s="10" t="n">
        <f aca="false">N3/FX-O3-P3-Q3-R3</f>
        <v>-16183.2191780822</v>
      </c>
      <c r="T3" s="10" t="n">
        <f aca="false">S3</f>
        <v>-16183.2191780822</v>
      </c>
      <c r="V3" s="11" t="n">
        <v>9</v>
      </c>
      <c r="W3" s="31" t="n">
        <f aca="false">V3</f>
        <v>9</v>
      </c>
      <c r="X3" s="36" t="n">
        <f aca="false">V3*BLEND_PRICE_AMD</f>
        <v>1647000</v>
      </c>
      <c r="Y3" s="10" t="n">
        <f aca="false">FULL_ANNUAL_COST/12</f>
        <v>2242.80821917808</v>
      </c>
      <c r="Z3" s="10" t="n">
        <f aca="false">IF(1&gt;=MINI_HIRE_MONTH,MINI_ANNUAL_COST/12,0)</f>
        <v>0</v>
      </c>
      <c r="AA3" s="10" t="n">
        <f aca="false">MKT_Y1+ADMIN_Y1</f>
        <v>450</v>
      </c>
      <c r="AB3" s="10" t="n">
        <f aca="false">LAUNCH_COST+CREW_TOOLKIT+VAN_PRICE</f>
        <v>17000</v>
      </c>
      <c r="AC3" s="10" t="n">
        <f aca="false">X3/FX-Y3-Z3-AA3-AB3</f>
        <v>-15180.4794520548</v>
      </c>
      <c r="AD3" s="10" t="n">
        <f aca="false">AC3</f>
        <v>-15180.4794520548</v>
      </c>
    </row>
    <row r="4" customFormat="false" ht="15" hidden="false" customHeight="false" outlineLevel="0" collapsed="false">
      <c r="A4" s="49" t="n">
        <v>2</v>
      </c>
      <c r="B4" s="11" t="n">
        <v>8</v>
      </c>
      <c r="C4" s="31" t="n">
        <f aca="false">C3+B4</f>
        <v>13</v>
      </c>
      <c r="D4" s="36" t="n">
        <f aca="false">B4*BLEND_PRICE_AMD</f>
        <v>1464000</v>
      </c>
      <c r="E4" s="10" t="n">
        <f aca="false">FULL_ANNUAL_COST/12</f>
        <v>2242.80821917808</v>
      </c>
      <c r="F4" s="10" t="n">
        <f aca="false">IF(2&gt;=MINI_HIRE_MONTH,MINI_ANNUAL_COST/12,0)</f>
        <v>0</v>
      </c>
      <c r="G4" s="10" t="n">
        <f aca="false">MKT_Y1+ADMIN_Y1</f>
        <v>450</v>
      </c>
      <c r="H4" s="10" t="n">
        <f aca="false">IF(2=MINI_HIRE_MONTH,MINI_KIT,0)</f>
        <v>0</v>
      </c>
      <c r="I4" s="10" t="n">
        <f aca="false">D4/FX-E4-F4-G4-H4</f>
        <v>1318.15068493151</v>
      </c>
      <c r="J4" s="10" t="n">
        <f aca="false">J3+I4</f>
        <v>-15867.8082191781</v>
      </c>
      <c r="L4" s="11" t="n">
        <v>11</v>
      </c>
      <c r="M4" s="31" t="n">
        <f aca="false">M3+L4</f>
        <v>18</v>
      </c>
      <c r="N4" s="36" t="n">
        <f aca="false">L4*BLEND_PRICE_AMD</f>
        <v>2013000</v>
      </c>
      <c r="O4" s="10" t="n">
        <f aca="false">FULL_ANNUAL_COST/12</f>
        <v>2242.80821917808</v>
      </c>
      <c r="P4" s="10" t="n">
        <f aca="false">IF(2&gt;=MINI_HIRE_MONTH,MINI_ANNUAL_COST/12,0)</f>
        <v>0</v>
      </c>
      <c r="Q4" s="10" t="n">
        <f aca="false">MKT_Y1+ADMIN_Y1</f>
        <v>450</v>
      </c>
      <c r="R4" s="10" t="n">
        <f aca="false">IF(2=MINI_HIRE_MONTH,MINI_KIT,0)</f>
        <v>0</v>
      </c>
      <c r="S4" s="10" t="n">
        <f aca="false">N4/FX-O4-P4-Q4-R4</f>
        <v>2822.2602739726</v>
      </c>
      <c r="T4" s="10" t="n">
        <f aca="false">T3+S4</f>
        <v>-13360.9589041096</v>
      </c>
      <c r="V4" s="11" t="n">
        <v>15</v>
      </c>
      <c r="W4" s="31" t="n">
        <f aca="false">W3+V4</f>
        <v>24</v>
      </c>
      <c r="X4" s="36" t="n">
        <f aca="false">V4*BLEND_PRICE_AMD</f>
        <v>2745000</v>
      </c>
      <c r="Y4" s="10" t="n">
        <f aca="false">FULL_ANNUAL_COST/12</f>
        <v>2242.80821917808</v>
      </c>
      <c r="Z4" s="10" t="n">
        <f aca="false">IF(2&gt;=MINI_HIRE_MONTH,MINI_ANNUAL_COST/12,0)</f>
        <v>0</v>
      </c>
      <c r="AA4" s="10" t="n">
        <f aca="false">MKT_Y1+ADMIN_Y1</f>
        <v>450</v>
      </c>
      <c r="AB4" s="10" t="n">
        <f aca="false">IF(2=MINI_HIRE_MONTH,MINI_KIT,0)</f>
        <v>0</v>
      </c>
      <c r="AC4" s="10" t="n">
        <f aca="false">X4/FX-Y4-Z4-AA4-AB4</f>
        <v>4827.7397260274</v>
      </c>
      <c r="AD4" s="10" t="n">
        <f aca="false">AD3+AC4</f>
        <v>-10352.7397260274</v>
      </c>
    </row>
    <row r="5" customFormat="false" ht="15" hidden="false" customHeight="false" outlineLevel="0" collapsed="false">
      <c r="A5" s="49" t="n">
        <v>3</v>
      </c>
      <c r="B5" s="11" t="n">
        <v>11</v>
      </c>
      <c r="C5" s="31" t="n">
        <f aca="false">C4+B5</f>
        <v>24</v>
      </c>
      <c r="D5" s="36" t="n">
        <f aca="false">B5*BLEND_PRICE_AMD</f>
        <v>2013000</v>
      </c>
      <c r="E5" s="10" t="n">
        <f aca="false">FULL_ANNUAL_COST/12</f>
        <v>2242.80821917808</v>
      </c>
      <c r="F5" s="10" t="n">
        <f aca="false">IF(3&gt;=MINI_HIRE_MONTH,MINI_ANNUAL_COST/12,0)</f>
        <v>0</v>
      </c>
      <c r="G5" s="10" t="n">
        <f aca="false">MKT_Y1+ADMIN_Y1</f>
        <v>450</v>
      </c>
      <c r="H5" s="10" t="n">
        <f aca="false">IF(3=MINI_HIRE_MONTH,MINI_KIT,0)</f>
        <v>0</v>
      </c>
      <c r="I5" s="10" t="n">
        <f aca="false">D5/FX-E5-F5-G5-H5</f>
        <v>2822.2602739726</v>
      </c>
      <c r="J5" s="10" t="n">
        <f aca="false">J4+I5</f>
        <v>-13045.5479452055</v>
      </c>
      <c r="L5" s="11" t="n">
        <v>15</v>
      </c>
      <c r="M5" s="31" t="n">
        <f aca="false">M4+L5</f>
        <v>33</v>
      </c>
      <c r="N5" s="36" t="n">
        <f aca="false">L5*BLEND_PRICE_AMD</f>
        <v>2745000</v>
      </c>
      <c r="O5" s="10" t="n">
        <f aca="false">FULL_ANNUAL_COST/12</f>
        <v>2242.80821917808</v>
      </c>
      <c r="P5" s="10" t="n">
        <f aca="false">IF(3&gt;=MINI_HIRE_MONTH,MINI_ANNUAL_COST/12,0)</f>
        <v>0</v>
      </c>
      <c r="Q5" s="10" t="n">
        <f aca="false">MKT_Y1+ADMIN_Y1</f>
        <v>450</v>
      </c>
      <c r="R5" s="10" t="n">
        <f aca="false">IF(3=MINI_HIRE_MONTH,MINI_KIT,0)</f>
        <v>0</v>
      </c>
      <c r="S5" s="10" t="n">
        <f aca="false">N5/FX-O5-P5-Q5-R5</f>
        <v>4827.7397260274</v>
      </c>
      <c r="T5" s="10" t="n">
        <f aca="false">T4+S5</f>
        <v>-8533.21917808219</v>
      </c>
      <c r="V5" s="11" t="n">
        <v>21</v>
      </c>
      <c r="W5" s="31" t="n">
        <f aca="false">W4+V5</f>
        <v>45</v>
      </c>
      <c r="X5" s="36" t="n">
        <f aca="false">V5*BLEND_PRICE_AMD</f>
        <v>3843000</v>
      </c>
      <c r="Y5" s="10" t="n">
        <f aca="false">FULL_ANNUAL_COST/12</f>
        <v>2242.80821917808</v>
      </c>
      <c r="Z5" s="10" t="n">
        <f aca="false">IF(3&gt;=MINI_HIRE_MONTH,MINI_ANNUAL_COST/12,0)</f>
        <v>0</v>
      </c>
      <c r="AA5" s="10" t="n">
        <f aca="false">MKT_Y1+ADMIN_Y1</f>
        <v>450</v>
      </c>
      <c r="AB5" s="10" t="n">
        <f aca="false">IF(3=MINI_HIRE_MONTH,MINI_KIT,0)</f>
        <v>0</v>
      </c>
      <c r="AC5" s="10" t="n">
        <f aca="false">X5/FX-Y5-Z5-AA5-AB5</f>
        <v>7835.95890410959</v>
      </c>
      <c r="AD5" s="10" t="n">
        <f aca="false">AD4+AC5</f>
        <v>-2516.78082191781</v>
      </c>
    </row>
    <row r="6" customFormat="false" ht="15" hidden="false" customHeight="false" outlineLevel="0" collapsed="false">
      <c r="A6" s="49" t="n">
        <v>4</v>
      </c>
      <c r="B6" s="11" t="n">
        <v>14</v>
      </c>
      <c r="C6" s="31" t="n">
        <f aca="false">C5+B6</f>
        <v>38</v>
      </c>
      <c r="D6" s="36" t="n">
        <f aca="false">B6*BLEND_PRICE_AMD</f>
        <v>2562000</v>
      </c>
      <c r="E6" s="10" t="n">
        <f aca="false">FULL_ANNUAL_COST/12</f>
        <v>2242.80821917808</v>
      </c>
      <c r="F6" s="10" t="n">
        <f aca="false">IF(4&gt;=MINI_HIRE_MONTH,MINI_ANNUAL_COST/12,0)</f>
        <v>1001.71232876712</v>
      </c>
      <c r="G6" s="10" t="n">
        <f aca="false">MKT_Y1+ADMIN_Y1</f>
        <v>450</v>
      </c>
      <c r="H6" s="10" t="n">
        <f aca="false">IF(4=MINI_HIRE_MONTH,MINI_KIT,0)</f>
        <v>250</v>
      </c>
      <c r="I6" s="10" t="n">
        <f aca="false">D6/FX-E6-F6-G6-H6</f>
        <v>3074.65753424658</v>
      </c>
      <c r="J6" s="10" t="n">
        <f aca="false">J5+I6</f>
        <v>-9970.89041095891</v>
      </c>
      <c r="L6" s="11" t="n">
        <v>20</v>
      </c>
      <c r="M6" s="31" t="n">
        <f aca="false">M5+L6</f>
        <v>53</v>
      </c>
      <c r="N6" s="36" t="n">
        <f aca="false">L6*BLEND_PRICE_AMD</f>
        <v>3660000</v>
      </c>
      <c r="O6" s="10" t="n">
        <f aca="false">FULL_ANNUAL_COST/12</f>
        <v>2242.80821917808</v>
      </c>
      <c r="P6" s="10" t="n">
        <f aca="false">IF(4&gt;=MINI_HIRE_MONTH,MINI_ANNUAL_COST/12,0)</f>
        <v>1001.71232876712</v>
      </c>
      <c r="Q6" s="10" t="n">
        <f aca="false">MKT_Y1+ADMIN_Y1</f>
        <v>450</v>
      </c>
      <c r="R6" s="10" t="n">
        <f aca="false">IF(4=MINI_HIRE_MONTH,MINI_KIT,0)</f>
        <v>250</v>
      </c>
      <c r="S6" s="10" t="n">
        <f aca="false">N6/FX-O6-P6-Q6-R6</f>
        <v>6082.87671232877</v>
      </c>
      <c r="T6" s="10" t="n">
        <f aca="false">T5+S6</f>
        <v>-2450.34246575343</v>
      </c>
      <c r="V6" s="11" t="n">
        <v>27</v>
      </c>
      <c r="W6" s="31" t="n">
        <f aca="false">W5+V6</f>
        <v>72</v>
      </c>
      <c r="X6" s="36" t="n">
        <f aca="false">V6*BLEND_PRICE_AMD</f>
        <v>4941000</v>
      </c>
      <c r="Y6" s="10" t="n">
        <f aca="false">FULL_ANNUAL_COST/12</f>
        <v>2242.80821917808</v>
      </c>
      <c r="Z6" s="10" t="n">
        <f aca="false">IF(4&gt;=MINI_HIRE_MONTH,MINI_ANNUAL_COST/12,0)</f>
        <v>1001.71232876712</v>
      </c>
      <c r="AA6" s="10" t="n">
        <f aca="false">MKT_Y1+ADMIN_Y1</f>
        <v>450</v>
      </c>
      <c r="AB6" s="10" t="n">
        <f aca="false">IF(4=MINI_HIRE_MONTH,MINI_KIT,0)</f>
        <v>250</v>
      </c>
      <c r="AC6" s="10" t="n">
        <f aca="false">X6/FX-Y6-Z6-AA6-AB6</f>
        <v>9592.46575342466</v>
      </c>
      <c r="AD6" s="10" t="n">
        <f aca="false">AD5+AC6</f>
        <v>7075.68493150685</v>
      </c>
    </row>
    <row r="7" customFormat="false" ht="15" hidden="false" customHeight="false" outlineLevel="0" collapsed="false">
      <c r="A7" s="49" t="n">
        <v>5</v>
      </c>
      <c r="B7" s="11" t="n">
        <v>16</v>
      </c>
      <c r="C7" s="31" t="n">
        <f aca="false">C6+B7</f>
        <v>54</v>
      </c>
      <c r="D7" s="36" t="n">
        <f aca="false">B7*BLEND_PRICE_AMD</f>
        <v>2928000</v>
      </c>
      <c r="E7" s="10" t="n">
        <f aca="false">FULL_ANNUAL_COST/12</f>
        <v>2242.80821917808</v>
      </c>
      <c r="F7" s="10" t="n">
        <f aca="false">IF(5&gt;=MINI_HIRE_MONTH,MINI_ANNUAL_COST/12,0)</f>
        <v>1001.71232876712</v>
      </c>
      <c r="G7" s="10" t="n">
        <f aca="false">MKT_Y1+ADMIN_Y1</f>
        <v>450</v>
      </c>
      <c r="H7" s="10" t="n">
        <f aca="false">IF(5=MINI_HIRE_MONTH,MINI_KIT,0)</f>
        <v>0</v>
      </c>
      <c r="I7" s="10" t="n">
        <f aca="false">D7/FX-E7-F7-G7-H7</f>
        <v>4327.39726027397</v>
      </c>
      <c r="J7" s="10" t="n">
        <f aca="false">J6+I7</f>
        <v>-5643.49315068493</v>
      </c>
      <c r="L7" s="11" t="n">
        <v>22</v>
      </c>
      <c r="M7" s="31" t="n">
        <f aca="false">M6+L7</f>
        <v>75</v>
      </c>
      <c r="N7" s="36" t="n">
        <f aca="false">L7*BLEND_PRICE_AMD</f>
        <v>4026000</v>
      </c>
      <c r="O7" s="10" t="n">
        <f aca="false">FULL_ANNUAL_COST/12</f>
        <v>2242.80821917808</v>
      </c>
      <c r="P7" s="10" t="n">
        <f aca="false">IF(5&gt;=MINI_HIRE_MONTH,MINI_ANNUAL_COST/12,0)</f>
        <v>1001.71232876712</v>
      </c>
      <c r="Q7" s="10" t="n">
        <f aca="false">MKT_Y1+ADMIN_Y1</f>
        <v>450</v>
      </c>
      <c r="R7" s="10" t="n">
        <f aca="false">IF(5=MINI_HIRE_MONTH,MINI_KIT,0)</f>
        <v>0</v>
      </c>
      <c r="S7" s="10" t="n">
        <f aca="false">N7/FX-O7-P7-Q7-R7</f>
        <v>7335.61643835616</v>
      </c>
      <c r="T7" s="10" t="n">
        <f aca="false">T6+S7</f>
        <v>4885.27397260274</v>
      </c>
      <c r="V7" s="11" t="n">
        <v>30</v>
      </c>
      <c r="W7" s="31" t="n">
        <f aca="false">W6+V7</f>
        <v>102</v>
      </c>
      <c r="X7" s="36" t="n">
        <f aca="false">V7*BLEND_PRICE_AMD</f>
        <v>5490000</v>
      </c>
      <c r="Y7" s="10" t="n">
        <f aca="false">FULL_ANNUAL_COST/12</f>
        <v>2242.80821917808</v>
      </c>
      <c r="Z7" s="10" t="n">
        <f aca="false">IF(5&gt;=MINI_HIRE_MONTH,MINI_ANNUAL_COST/12,0)</f>
        <v>1001.71232876712</v>
      </c>
      <c r="AA7" s="10" t="n">
        <f aca="false">MKT_Y1+ADMIN_Y1</f>
        <v>450</v>
      </c>
      <c r="AB7" s="10" t="n">
        <f aca="false">IF(5=MINI_HIRE_MONTH,MINI_KIT,0)</f>
        <v>0</v>
      </c>
      <c r="AC7" s="10" t="n">
        <f aca="false">X7/FX-Y7-Z7-AA7-AB7</f>
        <v>11346.5753424658</v>
      </c>
      <c r="AD7" s="10" t="n">
        <f aca="false">AD6+AC7</f>
        <v>18422.2602739726</v>
      </c>
    </row>
    <row r="8" customFormat="false" ht="15" hidden="false" customHeight="false" outlineLevel="0" collapsed="false">
      <c r="A8" s="49" t="n">
        <v>6</v>
      </c>
      <c r="B8" s="11" t="n">
        <v>16</v>
      </c>
      <c r="C8" s="31" t="n">
        <f aca="false">C7+B8</f>
        <v>70</v>
      </c>
      <c r="D8" s="36" t="n">
        <f aca="false">B8*BLEND_PRICE_AMD</f>
        <v>2928000</v>
      </c>
      <c r="E8" s="10" t="n">
        <f aca="false">FULL_ANNUAL_COST/12</f>
        <v>2242.80821917808</v>
      </c>
      <c r="F8" s="10" t="n">
        <f aca="false">IF(6&gt;=MINI_HIRE_MONTH,MINI_ANNUAL_COST/12,0)</f>
        <v>1001.71232876712</v>
      </c>
      <c r="G8" s="10" t="n">
        <f aca="false">MKT_Y1+ADMIN_Y1</f>
        <v>450</v>
      </c>
      <c r="H8" s="10" t="n">
        <f aca="false">IF(6=MINI_HIRE_MONTH,MINI_KIT,0)</f>
        <v>0</v>
      </c>
      <c r="I8" s="10" t="n">
        <f aca="false">D8/FX-E8-F8-G8-H8</f>
        <v>4327.39726027397</v>
      </c>
      <c r="J8" s="10" t="n">
        <f aca="false">J7+I8</f>
        <v>-1316.09589041096</v>
      </c>
      <c r="L8" s="11" t="n">
        <v>22</v>
      </c>
      <c r="M8" s="31" t="n">
        <f aca="false">M7+L8</f>
        <v>97</v>
      </c>
      <c r="N8" s="36" t="n">
        <f aca="false">L8*BLEND_PRICE_AMD</f>
        <v>4026000</v>
      </c>
      <c r="O8" s="10" t="n">
        <f aca="false">FULL_ANNUAL_COST/12</f>
        <v>2242.80821917808</v>
      </c>
      <c r="P8" s="10" t="n">
        <f aca="false">IF(6&gt;=MINI_HIRE_MONTH,MINI_ANNUAL_COST/12,0)</f>
        <v>1001.71232876712</v>
      </c>
      <c r="Q8" s="10" t="n">
        <f aca="false">MKT_Y1+ADMIN_Y1</f>
        <v>450</v>
      </c>
      <c r="R8" s="10" t="n">
        <f aca="false">IF(6=MINI_HIRE_MONTH,MINI_KIT,0)</f>
        <v>0</v>
      </c>
      <c r="S8" s="10" t="n">
        <f aca="false">N8/FX-O8-P8-Q8-R8</f>
        <v>7335.61643835616</v>
      </c>
      <c r="T8" s="10" t="n">
        <f aca="false">T7+S8</f>
        <v>12220.8904109589</v>
      </c>
      <c r="V8" s="11" t="n">
        <v>30</v>
      </c>
      <c r="W8" s="31" t="n">
        <f aca="false">W7+V8</f>
        <v>132</v>
      </c>
      <c r="X8" s="36" t="n">
        <f aca="false">V8*BLEND_PRICE_AMD</f>
        <v>5490000</v>
      </c>
      <c r="Y8" s="10" t="n">
        <f aca="false">FULL_ANNUAL_COST/12</f>
        <v>2242.80821917808</v>
      </c>
      <c r="Z8" s="10" t="n">
        <f aca="false">IF(6&gt;=MINI_HIRE_MONTH,MINI_ANNUAL_COST/12,0)</f>
        <v>1001.71232876712</v>
      </c>
      <c r="AA8" s="10" t="n">
        <f aca="false">MKT_Y1+ADMIN_Y1</f>
        <v>450</v>
      </c>
      <c r="AB8" s="10" t="n">
        <f aca="false">IF(6=MINI_HIRE_MONTH,MINI_KIT,0)</f>
        <v>0</v>
      </c>
      <c r="AC8" s="10" t="n">
        <f aca="false">X8/FX-Y8-Z8-AA8-AB8</f>
        <v>11346.5753424658</v>
      </c>
      <c r="AD8" s="10" t="n">
        <f aca="false">AD7+AC8</f>
        <v>29768.8356164384</v>
      </c>
    </row>
    <row r="9" customFormat="false" ht="15" hidden="false" customHeight="false" outlineLevel="0" collapsed="false">
      <c r="A9" s="49" t="n">
        <v>7</v>
      </c>
      <c r="B9" s="11" t="n">
        <v>16</v>
      </c>
      <c r="C9" s="31" t="n">
        <f aca="false">C8+B9</f>
        <v>86</v>
      </c>
      <c r="D9" s="36" t="n">
        <f aca="false">B9*BLEND_PRICE_AMD</f>
        <v>2928000</v>
      </c>
      <c r="E9" s="10" t="n">
        <f aca="false">FULL_ANNUAL_COST/12</f>
        <v>2242.80821917808</v>
      </c>
      <c r="F9" s="10" t="n">
        <f aca="false">IF(7&gt;=MINI_HIRE_MONTH,MINI_ANNUAL_COST/12,0)</f>
        <v>1001.71232876712</v>
      </c>
      <c r="G9" s="10" t="n">
        <f aca="false">MKT_Y1+ADMIN_Y1</f>
        <v>450</v>
      </c>
      <c r="H9" s="10" t="n">
        <f aca="false">IF(7=MINI_HIRE_MONTH,MINI_KIT,0)</f>
        <v>0</v>
      </c>
      <c r="I9" s="10" t="n">
        <f aca="false">D9/FX-E9-F9-G9-H9</f>
        <v>4327.39726027397</v>
      </c>
      <c r="J9" s="10" t="n">
        <f aca="false">J8+I9</f>
        <v>3011.30136986301</v>
      </c>
      <c r="L9" s="11" t="n">
        <v>22</v>
      </c>
      <c r="M9" s="31" t="n">
        <f aca="false">M8+L9</f>
        <v>119</v>
      </c>
      <c r="N9" s="36" t="n">
        <f aca="false">L9*BLEND_PRICE_AMD</f>
        <v>4026000</v>
      </c>
      <c r="O9" s="10" t="n">
        <f aca="false">FULL_ANNUAL_COST/12</f>
        <v>2242.80821917808</v>
      </c>
      <c r="P9" s="10" t="n">
        <f aca="false">IF(7&gt;=MINI_HIRE_MONTH,MINI_ANNUAL_COST/12,0)</f>
        <v>1001.71232876712</v>
      </c>
      <c r="Q9" s="10" t="n">
        <f aca="false">MKT_Y1+ADMIN_Y1</f>
        <v>450</v>
      </c>
      <c r="R9" s="10" t="n">
        <f aca="false">IF(7=MINI_HIRE_MONTH,MINI_KIT,0)</f>
        <v>0</v>
      </c>
      <c r="S9" s="10" t="n">
        <f aca="false">N9/FX-O9-P9-Q9-R9</f>
        <v>7335.61643835616</v>
      </c>
      <c r="T9" s="10" t="n">
        <f aca="false">T8+S9</f>
        <v>19556.5068493151</v>
      </c>
      <c r="V9" s="11" t="n">
        <v>30</v>
      </c>
      <c r="W9" s="31" t="n">
        <f aca="false">W8+V9</f>
        <v>162</v>
      </c>
      <c r="X9" s="36" t="n">
        <f aca="false">V9*BLEND_PRICE_AMD</f>
        <v>5490000</v>
      </c>
      <c r="Y9" s="10" t="n">
        <f aca="false">FULL_ANNUAL_COST/12</f>
        <v>2242.80821917808</v>
      </c>
      <c r="Z9" s="10" t="n">
        <f aca="false">IF(7&gt;=MINI_HIRE_MONTH,MINI_ANNUAL_COST/12,0)</f>
        <v>1001.71232876712</v>
      </c>
      <c r="AA9" s="10" t="n">
        <f aca="false">MKT_Y1+ADMIN_Y1</f>
        <v>450</v>
      </c>
      <c r="AB9" s="10" t="n">
        <f aca="false">IF(7=MINI_HIRE_MONTH,MINI_KIT,0)</f>
        <v>0</v>
      </c>
      <c r="AC9" s="10" t="n">
        <f aca="false">X9/FX-Y9-Z9-AA9-AB9</f>
        <v>11346.5753424658</v>
      </c>
      <c r="AD9" s="10" t="n">
        <f aca="false">AD8+AC9</f>
        <v>41115.4109589041</v>
      </c>
    </row>
    <row r="10" customFormat="false" ht="15" hidden="false" customHeight="false" outlineLevel="0" collapsed="false">
      <c r="A10" s="49" t="n">
        <v>8</v>
      </c>
      <c r="B10" s="11" t="n">
        <v>16</v>
      </c>
      <c r="C10" s="31" t="n">
        <f aca="false">C9+B10</f>
        <v>102</v>
      </c>
      <c r="D10" s="36" t="n">
        <f aca="false">B10*BLEND_PRICE_AMD</f>
        <v>2928000</v>
      </c>
      <c r="E10" s="10" t="n">
        <f aca="false">FULL_ANNUAL_COST/12</f>
        <v>2242.80821917808</v>
      </c>
      <c r="F10" s="10" t="n">
        <f aca="false">IF(8&gt;=MINI_HIRE_MONTH,MINI_ANNUAL_COST/12,0)</f>
        <v>1001.71232876712</v>
      </c>
      <c r="G10" s="10" t="n">
        <f aca="false">MKT_Y1+ADMIN_Y1</f>
        <v>450</v>
      </c>
      <c r="H10" s="10" t="n">
        <f aca="false">IF(8=MINI_HIRE_MONTH,MINI_KIT,0)</f>
        <v>0</v>
      </c>
      <c r="I10" s="10" t="n">
        <f aca="false">D10/FX-E10-F10-G10-H10</f>
        <v>4327.39726027397</v>
      </c>
      <c r="J10" s="10" t="n">
        <f aca="false">J9+I10</f>
        <v>7338.69863013699</v>
      </c>
      <c r="L10" s="11" t="n">
        <v>22</v>
      </c>
      <c r="M10" s="31" t="n">
        <f aca="false">M9+L10</f>
        <v>141</v>
      </c>
      <c r="N10" s="36" t="n">
        <f aca="false">L10*BLEND_PRICE_AMD</f>
        <v>4026000</v>
      </c>
      <c r="O10" s="10" t="n">
        <f aca="false">FULL_ANNUAL_COST/12</f>
        <v>2242.80821917808</v>
      </c>
      <c r="P10" s="10" t="n">
        <f aca="false">IF(8&gt;=MINI_HIRE_MONTH,MINI_ANNUAL_COST/12,0)</f>
        <v>1001.71232876712</v>
      </c>
      <c r="Q10" s="10" t="n">
        <f aca="false">MKT_Y1+ADMIN_Y1</f>
        <v>450</v>
      </c>
      <c r="R10" s="10" t="n">
        <f aca="false">IF(8=MINI_HIRE_MONTH,MINI_KIT,0)</f>
        <v>0</v>
      </c>
      <c r="S10" s="10" t="n">
        <f aca="false">N10/FX-O10-P10-Q10-R10</f>
        <v>7335.61643835616</v>
      </c>
      <c r="T10" s="10" t="n">
        <f aca="false">T9+S10</f>
        <v>26892.1232876712</v>
      </c>
      <c r="V10" s="11" t="n">
        <v>30</v>
      </c>
      <c r="W10" s="31" t="n">
        <f aca="false">W9+V10</f>
        <v>192</v>
      </c>
      <c r="X10" s="36" t="n">
        <f aca="false">V10*BLEND_PRICE_AMD</f>
        <v>5490000</v>
      </c>
      <c r="Y10" s="10" t="n">
        <f aca="false">FULL_ANNUAL_COST/12</f>
        <v>2242.80821917808</v>
      </c>
      <c r="Z10" s="10" t="n">
        <f aca="false">IF(8&gt;=MINI_HIRE_MONTH,MINI_ANNUAL_COST/12,0)</f>
        <v>1001.71232876712</v>
      </c>
      <c r="AA10" s="10" t="n">
        <f aca="false">MKT_Y1+ADMIN_Y1</f>
        <v>450</v>
      </c>
      <c r="AB10" s="10" t="n">
        <f aca="false">IF(8=MINI_HIRE_MONTH,MINI_KIT,0)</f>
        <v>0</v>
      </c>
      <c r="AC10" s="10" t="n">
        <f aca="false">X10/FX-Y10-Z10-AA10-AB10</f>
        <v>11346.5753424658</v>
      </c>
      <c r="AD10" s="10" t="n">
        <f aca="false">AD9+AC10</f>
        <v>52461.9863013699</v>
      </c>
    </row>
    <row r="11" customFormat="false" ht="15" hidden="false" customHeight="false" outlineLevel="0" collapsed="false">
      <c r="A11" s="49" t="n">
        <v>9</v>
      </c>
      <c r="B11" s="11" t="n">
        <v>14</v>
      </c>
      <c r="C11" s="31" t="n">
        <f aca="false">C10+B11</f>
        <v>116</v>
      </c>
      <c r="D11" s="36" t="n">
        <f aca="false">B11*BLEND_PRICE_AMD</f>
        <v>2562000</v>
      </c>
      <c r="E11" s="10" t="n">
        <f aca="false">FULL_ANNUAL_COST/12</f>
        <v>2242.80821917808</v>
      </c>
      <c r="F11" s="10" t="n">
        <f aca="false">IF(9&gt;=MINI_HIRE_MONTH,MINI_ANNUAL_COST/12,0)</f>
        <v>1001.71232876712</v>
      </c>
      <c r="G11" s="10" t="n">
        <f aca="false">MKT_Y1+ADMIN_Y1</f>
        <v>450</v>
      </c>
      <c r="H11" s="10" t="n">
        <f aca="false">IF(9=MINI_HIRE_MONTH,MINI_KIT,0)</f>
        <v>0</v>
      </c>
      <c r="I11" s="10" t="n">
        <f aca="false">D11/FX-E11-F11-G11-H11</f>
        <v>3324.65753424658</v>
      </c>
      <c r="J11" s="10" t="n">
        <f aca="false">J10+I11</f>
        <v>10663.3561643836</v>
      </c>
      <c r="L11" s="11" t="n">
        <v>20</v>
      </c>
      <c r="M11" s="31" t="n">
        <f aca="false">M10+L11</f>
        <v>161</v>
      </c>
      <c r="N11" s="36" t="n">
        <f aca="false">L11*BLEND_PRICE_AMD</f>
        <v>3660000</v>
      </c>
      <c r="O11" s="10" t="n">
        <f aca="false">FULL_ANNUAL_COST/12</f>
        <v>2242.80821917808</v>
      </c>
      <c r="P11" s="10" t="n">
        <f aca="false">IF(9&gt;=MINI_HIRE_MONTH,MINI_ANNUAL_COST/12,0)</f>
        <v>1001.71232876712</v>
      </c>
      <c r="Q11" s="10" t="n">
        <f aca="false">MKT_Y1+ADMIN_Y1</f>
        <v>450</v>
      </c>
      <c r="R11" s="10" t="n">
        <f aca="false">IF(9=MINI_HIRE_MONTH,MINI_KIT,0)</f>
        <v>0</v>
      </c>
      <c r="S11" s="10" t="n">
        <f aca="false">N11/FX-O11-P11-Q11-R11</f>
        <v>6332.87671232877</v>
      </c>
      <c r="T11" s="10" t="n">
        <f aca="false">T10+S11</f>
        <v>33225</v>
      </c>
      <c r="V11" s="11" t="n">
        <v>27</v>
      </c>
      <c r="W11" s="31" t="n">
        <f aca="false">W10+V11</f>
        <v>219</v>
      </c>
      <c r="X11" s="36" t="n">
        <f aca="false">V11*BLEND_PRICE_AMD</f>
        <v>4941000</v>
      </c>
      <c r="Y11" s="10" t="n">
        <f aca="false">FULL_ANNUAL_COST/12</f>
        <v>2242.80821917808</v>
      </c>
      <c r="Z11" s="10" t="n">
        <f aca="false">IF(9&gt;=MINI_HIRE_MONTH,MINI_ANNUAL_COST/12,0)</f>
        <v>1001.71232876712</v>
      </c>
      <c r="AA11" s="10" t="n">
        <f aca="false">MKT_Y1+ADMIN_Y1</f>
        <v>450</v>
      </c>
      <c r="AB11" s="10" t="n">
        <f aca="false">IF(9=MINI_HIRE_MONTH,MINI_KIT,0)</f>
        <v>0</v>
      </c>
      <c r="AC11" s="10" t="n">
        <f aca="false">X11/FX-Y11-Z11-AA11-AB11</f>
        <v>9842.46575342466</v>
      </c>
      <c r="AD11" s="10" t="n">
        <f aca="false">AD10+AC11</f>
        <v>62304.4520547945</v>
      </c>
    </row>
    <row r="12" customFormat="false" ht="15" hidden="false" customHeight="false" outlineLevel="0" collapsed="false">
      <c r="A12" s="49" t="n">
        <v>10</v>
      </c>
      <c r="B12" s="11" t="n">
        <v>14</v>
      </c>
      <c r="C12" s="31" t="n">
        <f aca="false">C11+B12</f>
        <v>130</v>
      </c>
      <c r="D12" s="36" t="n">
        <f aca="false">B12*BLEND_PRICE_AMD</f>
        <v>2562000</v>
      </c>
      <c r="E12" s="10" t="n">
        <f aca="false">FULL_ANNUAL_COST/12</f>
        <v>2242.80821917808</v>
      </c>
      <c r="F12" s="10" t="n">
        <f aca="false">IF(10&gt;=MINI_HIRE_MONTH,MINI_ANNUAL_COST/12,0)</f>
        <v>1001.71232876712</v>
      </c>
      <c r="G12" s="10" t="n">
        <f aca="false">MKT_Y1+ADMIN_Y1</f>
        <v>450</v>
      </c>
      <c r="H12" s="10" t="n">
        <f aca="false">IF(10=MINI_HIRE_MONTH,MINI_KIT,0)</f>
        <v>0</v>
      </c>
      <c r="I12" s="10" t="n">
        <f aca="false">D12/FX-E12-F12-G12-H12</f>
        <v>3324.65753424658</v>
      </c>
      <c r="J12" s="10" t="n">
        <f aca="false">J11+I12</f>
        <v>13988.0136986301</v>
      </c>
      <c r="L12" s="11" t="n">
        <v>20</v>
      </c>
      <c r="M12" s="31" t="n">
        <f aca="false">M11+L12</f>
        <v>181</v>
      </c>
      <c r="N12" s="36" t="n">
        <f aca="false">L12*BLEND_PRICE_AMD</f>
        <v>3660000</v>
      </c>
      <c r="O12" s="10" t="n">
        <f aca="false">FULL_ANNUAL_COST/12</f>
        <v>2242.80821917808</v>
      </c>
      <c r="P12" s="10" t="n">
        <f aca="false">IF(10&gt;=MINI_HIRE_MONTH,MINI_ANNUAL_COST/12,0)</f>
        <v>1001.71232876712</v>
      </c>
      <c r="Q12" s="10" t="n">
        <f aca="false">MKT_Y1+ADMIN_Y1</f>
        <v>450</v>
      </c>
      <c r="R12" s="10" t="n">
        <f aca="false">IF(10=MINI_HIRE_MONTH,MINI_KIT,0)</f>
        <v>0</v>
      </c>
      <c r="S12" s="10" t="n">
        <f aca="false">N12/FX-O12-P12-Q12-R12</f>
        <v>6332.87671232877</v>
      </c>
      <c r="T12" s="10" t="n">
        <f aca="false">T11+S12</f>
        <v>39557.8767123288</v>
      </c>
      <c r="V12" s="11" t="n">
        <v>27</v>
      </c>
      <c r="W12" s="31" t="n">
        <f aca="false">W11+V12</f>
        <v>246</v>
      </c>
      <c r="X12" s="36" t="n">
        <f aca="false">V12*BLEND_PRICE_AMD</f>
        <v>4941000</v>
      </c>
      <c r="Y12" s="10" t="n">
        <f aca="false">FULL_ANNUAL_COST/12</f>
        <v>2242.80821917808</v>
      </c>
      <c r="Z12" s="10" t="n">
        <f aca="false">IF(10&gt;=MINI_HIRE_MONTH,MINI_ANNUAL_COST/12,0)</f>
        <v>1001.71232876712</v>
      </c>
      <c r="AA12" s="10" t="n">
        <f aca="false">MKT_Y1+ADMIN_Y1</f>
        <v>450</v>
      </c>
      <c r="AB12" s="10" t="n">
        <f aca="false">IF(10=MINI_HIRE_MONTH,MINI_KIT,0)</f>
        <v>0</v>
      </c>
      <c r="AC12" s="10" t="n">
        <f aca="false">X12/FX-Y12-Z12-AA12-AB12</f>
        <v>9842.46575342466</v>
      </c>
      <c r="AD12" s="10" t="n">
        <f aca="false">AD11+AC12</f>
        <v>72146.9178082192</v>
      </c>
    </row>
    <row r="13" customFormat="false" ht="15" hidden="false" customHeight="false" outlineLevel="0" collapsed="false">
      <c r="A13" s="49" t="n">
        <v>11</v>
      </c>
      <c r="B13" s="11" t="n">
        <v>15</v>
      </c>
      <c r="C13" s="31" t="n">
        <f aca="false">C12+B13</f>
        <v>145</v>
      </c>
      <c r="D13" s="36" t="n">
        <f aca="false">B13*BLEND_PRICE_AMD</f>
        <v>2745000</v>
      </c>
      <c r="E13" s="10" t="n">
        <f aca="false">FULL_ANNUAL_COST/12</f>
        <v>2242.80821917808</v>
      </c>
      <c r="F13" s="10" t="n">
        <f aca="false">IF(11&gt;=MINI_HIRE_MONTH,MINI_ANNUAL_COST/12,0)</f>
        <v>1001.71232876712</v>
      </c>
      <c r="G13" s="10" t="n">
        <f aca="false">MKT_Y1+ADMIN_Y1</f>
        <v>450</v>
      </c>
      <c r="H13" s="10" t="n">
        <f aca="false">IF(11=MINI_HIRE_MONTH,MINI_KIT,0)</f>
        <v>0</v>
      </c>
      <c r="I13" s="10" t="n">
        <f aca="false">D13/FX-E13-F13-G13-H13</f>
        <v>3826.02739726027</v>
      </c>
      <c r="J13" s="10" t="n">
        <f aca="false">J12+I13</f>
        <v>17814.0410958904</v>
      </c>
      <c r="L13" s="11" t="n">
        <v>20</v>
      </c>
      <c r="M13" s="31" t="n">
        <f aca="false">M12+L13</f>
        <v>201</v>
      </c>
      <c r="N13" s="36" t="n">
        <f aca="false">L13*BLEND_PRICE_AMD</f>
        <v>3660000</v>
      </c>
      <c r="O13" s="10" t="n">
        <f aca="false">FULL_ANNUAL_COST/12</f>
        <v>2242.80821917808</v>
      </c>
      <c r="P13" s="10" t="n">
        <f aca="false">IF(11&gt;=MINI_HIRE_MONTH,MINI_ANNUAL_COST/12,0)</f>
        <v>1001.71232876712</v>
      </c>
      <c r="Q13" s="10" t="n">
        <f aca="false">MKT_Y1+ADMIN_Y1</f>
        <v>450</v>
      </c>
      <c r="R13" s="10" t="n">
        <f aca="false">IF(11=MINI_HIRE_MONTH,MINI_KIT,0)</f>
        <v>0</v>
      </c>
      <c r="S13" s="10" t="n">
        <f aca="false">N13/FX-O13-P13-Q13-R13</f>
        <v>6332.87671232877</v>
      </c>
      <c r="T13" s="10" t="n">
        <f aca="false">T12+S13</f>
        <v>45890.7534246575</v>
      </c>
      <c r="V13" s="11" t="n">
        <v>27</v>
      </c>
      <c r="W13" s="31" t="n">
        <f aca="false">W12+V13</f>
        <v>273</v>
      </c>
      <c r="X13" s="36" t="n">
        <f aca="false">V13*BLEND_PRICE_AMD</f>
        <v>4941000</v>
      </c>
      <c r="Y13" s="10" t="n">
        <f aca="false">FULL_ANNUAL_COST/12</f>
        <v>2242.80821917808</v>
      </c>
      <c r="Z13" s="10" t="n">
        <f aca="false">IF(11&gt;=MINI_HIRE_MONTH,MINI_ANNUAL_COST/12,0)</f>
        <v>1001.71232876712</v>
      </c>
      <c r="AA13" s="10" t="n">
        <f aca="false">MKT_Y1+ADMIN_Y1</f>
        <v>450</v>
      </c>
      <c r="AB13" s="10" t="n">
        <f aca="false">IF(11=MINI_HIRE_MONTH,MINI_KIT,0)</f>
        <v>0</v>
      </c>
      <c r="AC13" s="10" t="n">
        <f aca="false">X13/FX-Y13-Z13-AA13-AB13</f>
        <v>9842.46575342466</v>
      </c>
      <c r="AD13" s="10" t="n">
        <f aca="false">AD12+AC13</f>
        <v>81989.3835616438</v>
      </c>
    </row>
    <row r="14" customFormat="false" ht="15" hidden="false" customHeight="false" outlineLevel="0" collapsed="false">
      <c r="A14" s="49" t="n">
        <v>12</v>
      </c>
      <c r="B14" s="11" t="n">
        <v>15</v>
      </c>
      <c r="C14" s="31" t="n">
        <f aca="false">C13+B14</f>
        <v>160</v>
      </c>
      <c r="D14" s="36" t="n">
        <f aca="false">B14*BLEND_PRICE_AMD</f>
        <v>2745000</v>
      </c>
      <c r="E14" s="10" t="n">
        <f aca="false">FULL_ANNUAL_COST/12</f>
        <v>2242.80821917808</v>
      </c>
      <c r="F14" s="10" t="n">
        <f aca="false">IF(12&gt;=MINI_HIRE_MONTH,MINI_ANNUAL_COST/12,0)</f>
        <v>1001.71232876712</v>
      </c>
      <c r="G14" s="10" t="n">
        <f aca="false">MKT_Y1+ADMIN_Y1</f>
        <v>450</v>
      </c>
      <c r="H14" s="10" t="n">
        <f aca="false">IF(12=MINI_HIRE_MONTH,MINI_KIT,0)</f>
        <v>0</v>
      </c>
      <c r="I14" s="10" t="n">
        <f aca="false">D14/FX-E14-F14-G14-H14</f>
        <v>3826.02739726027</v>
      </c>
      <c r="J14" s="10" t="n">
        <f aca="false">J13+I14</f>
        <v>21640.0684931507</v>
      </c>
      <c r="L14" s="11" t="n">
        <v>19</v>
      </c>
      <c r="M14" s="31" t="n">
        <f aca="false">M13+L14</f>
        <v>220</v>
      </c>
      <c r="N14" s="36" t="n">
        <f aca="false">L14*BLEND_PRICE_AMD</f>
        <v>3477000</v>
      </c>
      <c r="O14" s="10" t="n">
        <f aca="false">FULL_ANNUAL_COST/12</f>
        <v>2242.80821917808</v>
      </c>
      <c r="P14" s="10" t="n">
        <f aca="false">IF(12&gt;=MINI_HIRE_MONTH,MINI_ANNUAL_COST/12,0)</f>
        <v>1001.71232876712</v>
      </c>
      <c r="Q14" s="10" t="n">
        <f aca="false">MKT_Y1+ADMIN_Y1</f>
        <v>450</v>
      </c>
      <c r="R14" s="10" t="n">
        <f aca="false">IF(12=MINI_HIRE_MONTH,MINI_KIT,0)</f>
        <v>0</v>
      </c>
      <c r="S14" s="10" t="n">
        <f aca="false">N14/FX-O14-P14-Q14-R14</f>
        <v>5831.50684931507</v>
      </c>
      <c r="T14" s="10" t="n">
        <f aca="false">T13+S14</f>
        <v>51722.2602739726</v>
      </c>
      <c r="V14" s="11" t="n">
        <v>27</v>
      </c>
      <c r="W14" s="31" t="n">
        <f aca="false">W13+V14</f>
        <v>300</v>
      </c>
      <c r="X14" s="36" t="n">
        <f aca="false">V14*BLEND_PRICE_AMD</f>
        <v>4941000</v>
      </c>
      <c r="Y14" s="10" t="n">
        <f aca="false">FULL_ANNUAL_COST/12</f>
        <v>2242.80821917808</v>
      </c>
      <c r="Z14" s="10" t="n">
        <f aca="false">IF(12&gt;=MINI_HIRE_MONTH,MINI_ANNUAL_COST/12,0)</f>
        <v>1001.71232876712</v>
      </c>
      <c r="AA14" s="10" t="n">
        <f aca="false">MKT_Y1+ADMIN_Y1</f>
        <v>450</v>
      </c>
      <c r="AB14" s="10" t="n">
        <f aca="false">IF(12=MINI_HIRE_MONTH,MINI_KIT,0)</f>
        <v>0</v>
      </c>
      <c r="AC14" s="10" t="n">
        <f aca="false">X14/FX-Y14-Z14-AA14-AB14</f>
        <v>9842.46575342466</v>
      </c>
      <c r="AD14" s="10" t="n">
        <f aca="false">AD13+AC14</f>
        <v>91831.8493150685</v>
      </c>
    </row>
    <row r="15" customFormat="false" ht="15" hidden="false" customHeight="false" outlineLevel="0" collapsed="false">
      <c r="A15" s="32" t="s">
        <v>137</v>
      </c>
      <c r="B15" s="33" t="n">
        <f aca="false">SUM(B3:B14)</f>
        <v>160</v>
      </c>
      <c r="C15" s="33" t="n">
        <f aca="false">C14</f>
        <v>160</v>
      </c>
      <c r="D15" s="38" t="n">
        <f aca="false">SUM(D3:D14)</f>
        <v>29280000</v>
      </c>
      <c r="E15" s="50" t="n">
        <f aca="false">SUM(E3:E14)</f>
        <v>26913.698630137</v>
      </c>
      <c r="F15" s="50" t="n">
        <f aca="false">SUM(F3:F14)</f>
        <v>9015.41095890411</v>
      </c>
      <c r="G15" s="50" t="n">
        <f aca="false">SUM(G3:G14)</f>
        <v>5400</v>
      </c>
      <c r="H15" s="50" t="n">
        <f aca="false">SUM(H3:H14)</f>
        <v>17250</v>
      </c>
      <c r="I15" s="50" t="n">
        <f aca="false">SUM(I3:I14)</f>
        <v>21640.0684931507</v>
      </c>
      <c r="J15" s="50" t="n">
        <f aca="false">J14</f>
        <v>21640.0684931507</v>
      </c>
      <c r="L15" s="33" t="n">
        <f aca="false">SUM(L3:L14)</f>
        <v>220</v>
      </c>
      <c r="M15" s="33" t="n">
        <f aca="false">M14</f>
        <v>220</v>
      </c>
      <c r="N15" s="38" t="n">
        <f aca="false">SUM(N3:N14)</f>
        <v>40260000</v>
      </c>
      <c r="O15" s="50" t="n">
        <f aca="false">SUM(O3:O14)</f>
        <v>26913.698630137</v>
      </c>
      <c r="P15" s="50" t="n">
        <f aca="false">SUM(P3:P14)</f>
        <v>9015.41095890411</v>
      </c>
      <c r="Q15" s="50" t="n">
        <f aca="false">SUM(Q3:Q14)</f>
        <v>5400</v>
      </c>
      <c r="R15" s="50" t="n">
        <f aca="false">SUM(R3:R14)</f>
        <v>17250</v>
      </c>
      <c r="S15" s="50" t="n">
        <f aca="false">SUM(S3:S14)</f>
        <v>51722.2602739726</v>
      </c>
      <c r="T15" s="50" t="n">
        <f aca="false">T14</f>
        <v>51722.2602739726</v>
      </c>
      <c r="V15" s="33" t="n">
        <f aca="false">SUM(V3:V14)</f>
        <v>300</v>
      </c>
      <c r="W15" s="33" t="n">
        <f aca="false">W14</f>
        <v>300</v>
      </c>
      <c r="X15" s="38" t="n">
        <f aca="false">SUM(X3:X14)</f>
        <v>54900000</v>
      </c>
      <c r="Y15" s="50" t="n">
        <f aca="false">SUM(Y3:Y14)</f>
        <v>26913.698630137</v>
      </c>
      <c r="Z15" s="50" t="n">
        <f aca="false">SUM(Z3:Z14)</f>
        <v>9015.41095890411</v>
      </c>
      <c r="AA15" s="50" t="n">
        <f aca="false">SUM(AA3:AA14)</f>
        <v>5400</v>
      </c>
      <c r="AB15" s="50" t="n">
        <f aca="false">SUM(AB3:AB14)</f>
        <v>17250</v>
      </c>
      <c r="AC15" s="50" t="n">
        <f aca="false">SUM(AC3:AC14)</f>
        <v>91831.8493150685</v>
      </c>
      <c r="AD15" s="50" t="n">
        <f aca="false">AD14</f>
        <v>91831.8493150685</v>
      </c>
    </row>
    <row r="16" customFormat="false" ht="15" hidden="false" customHeight="false" outlineLevel="0" collapsed="false">
      <c r="A16" s="18" t="s">
        <v>138</v>
      </c>
      <c r="J16" s="51" t="n">
        <f aca="false">MIN(J3:J14)</f>
        <v>-17185.9589041096</v>
      </c>
      <c r="T16" s="51" t="n">
        <f aca="false">MIN(T3:T14)</f>
        <v>-16183.2191780822</v>
      </c>
      <c r="AD16" s="51" t="n">
        <f aca="false">MIN(AD3:AD14)</f>
        <v>-15180.4794520548</v>
      </c>
    </row>
    <row r="17" customFormat="false" ht="15" hidden="false" customHeight="false" outlineLevel="0" collapsed="false">
      <c r="A17" s="18" t="s">
        <v>139</v>
      </c>
      <c r="B17" s="31" t="n">
        <f aca="false">B15-TARGET_WORST</f>
        <v>0</v>
      </c>
      <c r="L17" s="31" t="n">
        <f aca="false">L15-TARGET_NORMAL</f>
        <v>0</v>
      </c>
      <c r="V17" s="31" t="n">
        <f aca="false">V15-TARGET_POSITIVE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5"/>
  </cols>
  <sheetData>
    <row r="1" customFormat="false" ht="16.15" hidden="false" customHeight="false" outlineLevel="0" collapsed="false">
      <c r="A1" s="1" t="s">
        <v>140</v>
      </c>
    </row>
    <row r="3" customFormat="false" ht="15" hidden="false" customHeight="false" outlineLevel="0" collapsed="false">
      <c r="A3" s="2" t="s">
        <v>141</v>
      </c>
      <c r="B3" s="3"/>
      <c r="C3" s="3"/>
      <c r="D3" s="3"/>
      <c r="E3" s="3"/>
      <c r="F3" s="3"/>
    </row>
    <row r="4" customFormat="false" ht="15" hidden="false" customHeight="false" outlineLevel="0" collapsed="false">
      <c r="A4" s="52"/>
      <c r="B4" s="7" t="s">
        <v>83</v>
      </c>
      <c r="C4" s="7" t="s">
        <v>84</v>
      </c>
      <c r="D4" s="7" t="s">
        <v>85</v>
      </c>
      <c r="E4" s="7" t="s">
        <v>86</v>
      </c>
      <c r="F4" s="7" t="s">
        <v>87</v>
      </c>
    </row>
    <row r="5" customFormat="false" ht="15" hidden="false" customHeight="false" outlineLevel="0" collapsed="false">
      <c r="A5" s="8" t="s">
        <v>88</v>
      </c>
      <c r="B5" s="11" t="n">
        <v>1</v>
      </c>
      <c r="C5" s="11" t="n">
        <v>1</v>
      </c>
      <c r="D5" s="11" t="n">
        <v>1</v>
      </c>
      <c r="E5" s="11" t="n">
        <v>1</v>
      </c>
      <c r="F5" s="11" t="n">
        <v>1</v>
      </c>
    </row>
    <row r="6" customFormat="false" ht="15" hidden="false" customHeight="false" outlineLevel="0" collapsed="false">
      <c r="A6" s="8" t="s">
        <v>89</v>
      </c>
      <c r="B6" s="11" t="n">
        <v>1</v>
      </c>
      <c r="C6" s="11" t="n">
        <v>1</v>
      </c>
      <c r="D6" s="11" t="n">
        <v>1</v>
      </c>
      <c r="E6" s="11" t="n">
        <v>1</v>
      </c>
      <c r="F6" s="11" t="n">
        <v>1</v>
      </c>
    </row>
    <row r="7" customFormat="false" ht="15" hidden="false" customHeight="false" outlineLevel="0" collapsed="false">
      <c r="A7" s="8" t="s">
        <v>90</v>
      </c>
      <c r="B7" s="11" t="n">
        <v>0</v>
      </c>
      <c r="C7" s="11" t="n">
        <v>0</v>
      </c>
      <c r="D7" s="11" t="n">
        <v>0</v>
      </c>
      <c r="E7" s="11" t="n">
        <v>0</v>
      </c>
      <c r="F7" s="11" t="n">
        <v>0</v>
      </c>
    </row>
    <row r="8" customFormat="false" ht="15" hidden="false" customHeight="false" outlineLevel="0" collapsed="false">
      <c r="A8" s="32" t="s">
        <v>142</v>
      </c>
      <c r="B8" s="33" t="n">
        <f aca="false">MIN(B5*IF(B7=1,'Capacity Model'!$B$14,'Capacity Model'!$B$13)/BLEND_HVISITS,B6*IF(B7=1,'Capacity Model'!$B$16,'Capacity Model'!$B$15)/BLEND_LVISITS)</f>
        <v>610.434782608696</v>
      </c>
      <c r="C8" s="33" t="n">
        <f aca="false">MIN(C5*IF(C7=1,'Capacity Model'!$B$14,'Capacity Model'!$B$13)/BLEND_HVISITS,C6*IF(C7=1,'Capacity Model'!$B$16,'Capacity Model'!$B$15)/BLEND_LVISITS)</f>
        <v>610.434782608696</v>
      </c>
      <c r="D8" s="33" t="n">
        <f aca="false">MIN(D5*IF(D7=1,'Capacity Model'!$B$14,'Capacity Model'!$B$13)/BLEND_HVISITS,D6*IF(D7=1,'Capacity Model'!$B$16,'Capacity Model'!$B$15)/BLEND_LVISITS)</f>
        <v>610.434782608696</v>
      </c>
      <c r="E8" s="33" t="n">
        <f aca="false">MIN(E5*IF(E7=1,'Capacity Model'!$B$14,'Capacity Model'!$B$13)/BLEND_HVISITS,E6*IF(E7=1,'Capacity Model'!$B$16,'Capacity Model'!$B$15)/BLEND_LVISITS)</f>
        <v>610.434782608696</v>
      </c>
      <c r="F8" s="33" t="n">
        <f aca="false">MIN(F5*IF(F7=1,'Capacity Model'!$B$14,'Capacity Model'!$B$13)/BLEND_HVISITS,F6*IF(F7=1,'Capacity Model'!$B$16,'Capacity Model'!$B$15)/BLEND_LVISITS)</f>
        <v>610.434782608696</v>
      </c>
    </row>
    <row r="9" customFormat="false" ht="15" hidden="false" customHeight="false" outlineLevel="0" collapsed="false">
      <c r="A9" s="8" t="s">
        <v>143</v>
      </c>
      <c r="B9" s="11" t="n">
        <v>0</v>
      </c>
      <c r="C9" s="31" t="n">
        <f aca="false">B11</f>
        <v>160</v>
      </c>
      <c r="D9" s="31" t="n">
        <f aca="false">C11</f>
        <v>232</v>
      </c>
      <c r="E9" s="31" t="n">
        <f aca="false">D11</f>
        <v>301.6</v>
      </c>
      <c r="F9" s="31" t="n">
        <f aca="false">E11</f>
        <v>361.92</v>
      </c>
    </row>
    <row r="10" customFormat="false" ht="15" hidden="false" customHeight="false" outlineLevel="0" collapsed="false">
      <c r="A10" s="8" t="s">
        <v>144</v>
      </c>
      <c r="B10" s="31" t="n">
        <v>0</v>
      </c>
      <c r="C10" s="31" t="n">
        <f aca="false">C9*(1-CHURN_RATE)</f>
        <v>136</v>
      </c>
      <c r="D10" s="31" t="n">
        <f aca="false">D9*(1-CHURN_RATE)</f>
        <v>197.2</v>
      </c>
      <c r="E10" s="31" t="n">
        <f aca="false">E9*(1-CHURN_RATE)</f>
        <v>256.36</v>
      </c>
      <c r="F10" s="31" t="n">
        <f aca="false">F9*(1-CHURN_RATE)</f>
        <v>307.632</v>
      </c>
    </row>
    <row r="11" customFormat="false" ht="15" hidden="false" customHeight="false" outlineLevel="0" collapsed="false">
      <c r="A11" s="32" t="s">
        <v>145</v>
      </c>
      <c r="B11" s="33" t="n">
        <f aca="false">Y1_EOY_CLIENTS_Worst</f>
        <v>160</v>
      </c>
      <c r="C11" s="33" t="n">
        <f aca="false">MIN(C9*(1+GROWTH_Y2),C8)</f>
        <v>232</v>
      </c>
      <c r="D11" s="33" t="n">
        <f aca="false">MIN(D9*(1+GROWTH_Y3),D8)</f>
        <v>301.6</v>
      </c>
      <c r="E11" s="33" t="n">
        <f aca="false">MIN(E9*(1+GROWTH_Y4),E8)</f>
        <v>361.92</v>
      </c>
      <c r="F11" s="33" t="n">
        <f aca="false">MIN(F9*(1+GROWTH_Y5),F8)</f>
        <v>416.208</v>
      </c>
    </row>
    <row r="12" customFormat="false" ht="15" hidden="false" customHeight="false" outlineLevel="0" collapsed="false">
      <c r="A12" s="8" t="s">
        <v>146</v>
      </c>
      <c r="B12" s="31" t="n">
        <f aca="false">B11</f>
        <v>160</v>
      </c>
      <c r="C12" s="31" t="n">
        <f aca="false">C11-C10</f>
        <v>96</v>
      </c>
      <c r="D12" s="31" t="n">
        <f aca="false">D11-D10</f>
        <v>104.4</v>
      </c>
      <c r="E12" s="31" t="n">
        <f aca="false">E11-E10</f>
        <v>105.56</v>
      </c>
      <c r="F12" s="31" t="n">
        <f aca="false">F11-F10</f>
        <v>108.576</v>
      </c>
    </row>
    <row r="13" customFormat="false" ht="15" hidden="false" customHeight="false" outlineLevel="0" collapsed="false">
      <c r="A13" s="8" t="s">
        <v>147</v>
      </c>
      <c r="B13" s="31" t="n">
        <v>0</v>
      </c>
      <c r="C13" s="31" t="n">
        <f aca="false">C9*CHURN_RATE</f>
        <v>24</v>
      </c>
      <c r="D13" s="31" t="n">
        <f aca="false">D9*CHURN_RATE</f>
        <v>34.8</v>
      </c>
      <c r="E13" s="31" t="n">
        <f aca="false">E9*CHURN_RATE</f>
        <v>45.24</v>
      </c>
      <c r="F13" s="31" t="n">
        <f aca="false">F9*CHURN_RATE</f>
        <v>54.288</v>
      </c>
    </row>
    <row r="14" customFormat="false" ht="15" hidden="false" customHeight="false" outlineLevel="0" collapsed="false">
      <c r="A14" s="8" t="s">
        <v>148</v>
      </c>
      <c r="B14" s="31" t="n">
        <f aca="false">AVERAGE('Y1 Monthly Build'!C3:C14)</f>
        <v>78.5833333333333</v>
      </c>
      <c r="C14" s="31" t="n">
        <f aca="false">(C9+C11)/2</f>
        <v>196</v>
      </c>
      <c r="D14" s="31" t="n">
        <f aca="false">(D9+D11)/2</f>
        <v>266.8</v>
      </c>
      <c r="E14" s="31" t="n">
        <f aca="false">(E9+E11)/2</f>
        <v>331.76</v>
      </c>
      <c r="F14" s="31" t="n">
        <f aca="false">(F9+F11)/2</f>
        <v>389.064</v>
      </c>
    </row>
    <row r="15" customFormat="false" ht="15" hidden="false" customHeight="false" outlineLevel="0" collapsed="false">
      <c r="A15" s="39" t="s">
        <v>149</v>
      </c>
      <c r="B15" s="53" t="n">
        <f aca="false">B11/B8</f>
        <v>0.262108262108262</v>
      </c>
      <c r="C15" s="53" t="n">
        <f aca="false">C11/C8</f>
        <v>0.38005698005698</v>
      </c>
      <c r="D15" s="53" t="n">
        <f aca="false">D11/D8</f>
        <v>0.494074074074074</v>
      </c>
      <c r="E15" s="53" t="n">
        <f aca="false">E11/E8</f>
        <v>0.592888888888889</v>
      </c>
      <c r="F15" s="53" t="n">
        <f aca="false">F11/F8</f>
        <v>0.681822222222222</v>
      </c>
    </row>
    <row r="17" customFormat="false" ht="15" hidden="false" customHeight="false" outlineLevel="0" collapsed="false">
      <c r="A17" s="2" t="s">
        <v>150</v>
      </c>
      <c r="B17" s="3"/>
      <c r="C17" s="3"/>
      <c r="D17" s="3"/>
      <c r="E17" s="3"/>
      <c r="F17" s="3"/>
    </row>
    <row r="19" customFormat="false" ht="15" hidden="false" customHeight="false" outlineLevel="0" collapsed="false">
      <c r="A19" s="8" t="s">
        <v>151</v>
      </c>
      <c r="B19" s="10" t="n">
        <f aca="false">B11*BLEND_PRICE_AMD/FX</f>
        <v>80219.1780821918</v>
      </c>
      <c r="C19" s="10" t="n">
        <f aca="false">C11*BLEND_PRICE_AMD/FX</f>
        <v>116317.808219178</v>
      </c>
      <c r="D19" s="10" t="n">
        <f aca="false">D11*BLEND_PRICE_AMD/FX</f>
        <v>151213.150684932</v>
      </c>
      <c r="E19" s="10" t="n">
        <f aca="false">E11*BLEND_PRICE_AMD/FX</f>
        <v>181455.780821918</v>
      </c>
      <c r="F19" s="10" t="n">
        <f aca="false">F11*BLEND_PRICE_AMD/FX</f>
        <v>208674.147945205</v>
      </c>
    </row>
    <row r="20" customFormat="false" ht="15" hidden="false" customHeight="false" outlineLevel="0" collapsed="false">
      <c r="A20" s="8" t="s">
        <v>152</v>
      </c>
      <c r="B20" s="10" t="n">
        <f aca="false">B19*TAX_RATE</f>
        <v>8021.91780821918</v>
      </c>
      <c r="C20" s="10" t="n">
        <f aca="false">C19*TAX_RATE</f>
        <v>11631.7808219178</v>
      </c>
      <c r="D20" s="10" t="n">
        <f aca="false">D19*TAX_RATE</f>
        <v>15121.3150684932</v>
      </c>
      <c r="E20" s="10" t="n">
        <f aca="false">E19*TAX_RATE</f>
        <v>18145.5780821918</v>
      </c>
      <c r="F20" s="10" t="n">
        <f aca="false">F19*TAX_RATE</f>
        <v>20867.4147945205</v>
      </c>
    </row>
    <row r="21" customFormat="false" ht="15" hidden="false" customHeight="false" outlineLevel="0" collapsed="false">
      <c r="A21" s="32" t="s">
        <v>153</v>
      </c>
      <c r="B21" s="50" t="n">
        <f aca="false">B19-B20</f>
        <v>72197.2602739726</v>
      </c>
      <c r="C21" s="50" t="n">
        <f aca="false">C19-C20</f>
        <v>104686.02739726</v>
      </c>
      <c r="D21" s="50" t="n">
        <f aca="false">D19-D20</f>
        <v>136091.835616438</v>
      </c>
      <c r="E21" s="50" t="n">
        <f aca="false">E19-E20</f>
        <v>163310.202739726</v>
      </c>
      <c r="F21" s="50" t="n">
        <f aca="false">F19-F20</f>
        <v>187806.733150685</v>
      </c>
    </row>
    <row r="23" customFormat="false" ht="15" hidden="false" customHeight="false" outlineLevel="0" collapsed="false">
      <c r="A23" s="2" t="s">
        <v>154</v>
      </c>
      <c r="B23" s="3"/>
      <c r="C23" s="3"/>
      <c r="D23" s="3"/>
      <c r="E23" s="3"/>
      <c r="F23" s="3"/>
    </row>
    <row r="25" customFormat="false" ht="15" hidden="false" customHeight="false" outlineLevel="0" collapsed="false">
      <c r="A25" s="8" t="s">
        <v>155</v>
      </c>
      <c r="B25" s="10" t="n">
        <f aca="false">Y1_CREW_COST_Worst</f>
        <v>26913.698630137</v>
      </c>
      <c r="C25" s="10" t="n">
        <f aca="false">C5*FULL_ANNUAL_COST</f>
        <v>26913.698630137</v>
      </c>
      <c r="D25" s="10" t="n">
        <f aca="false">D5*FULL_ANNUAL_COST</f>
        <v>26913.698630137</v>
      </c>
      <c r="E25" s="10" t="n">
        <f aca="false">E5*FULL_ANNUAL_COST</f>
        <v>26913.698630137</v>
      </c>
      <c r="F25" s="10" t="n">
        <f aca="false">F5*FULL_ANNUAL_COST</f>
        <v>26913.698630137</v>
      </c>
    </row>
    <row r="26" customFormat="false" ht="15" hidden="false" customHeight="false" outlineLevel="0" collapsed="false">
      <c r="A26" s="8" t="s">
        <v>156</v>
      </c>
      <c r="B26" s="10" t="n">
        <f aca="false">Y1_MINI_COST_Worst</f>
        <v>9015.41095890411</v>
      </c>
      <c r="C26" s="10" t="n">
        <f aca="false">C6*MINI_ANNUAL_COST</f>
        <v>12020.5479452055</v>
      </c>
      <c r="D26" s="10" t="n">
        <f aca="false">D6*MINI_ANNUAL_COST</f>
        <v>12020.5479452055</v>
      </c>
      <c r="E26" s="10" t="n">
        <f aca="false">E6*MINI_ANNUAL_COST</f>
        <v>12020.5479452055</v>
      </c>
      <c r="F26" s="10" t="n">
        <f aca="false">F6*MINI_ANNUAL_COST</f>
        <v>12020.5479452055</v>
      </c>
    </row>
    <row r="27" customFormat="false" ht="15" hidden="false" customHeight="false" outlineLevel="0" collapsed="false">
      <c r="A27" s="8" t="s">
        <v>157</v>
      </c>
      <c r="B27" s="10" t="n">
        <f aca="false">Y1_MKT_COST_Worst</f>
        <v>5400</v>
      </c>
      <c r="C27" s="10" t="n">
        <f aca="false">(MKT_Y1+MKT_GROWTH*1+ADMIN_Y1+ADMIN_GROWTH*1)*12</f>
        <v>7200</v>
      </c>
      <c r="D27" s="10" t="n">
        <f aca="false">(MKT_Y1+MKT_GROWTH*2+ADMIN_Y1+ADMIN_GROWTH*2)*12</f>
        <v>9000</v>
      </c>
      <c r="E27" s="10" t="n">
        <f aca="false">(MKT_Y1+MKT_GROWTH*3+ADMIN_Y1+ADMIN_GROWTH*3)*12</f>
        <v>10800</v>
      </c>
      <c r="F27" s="10" t="n">
        <f aca="false">(MKT_Y1+MKT_GROWTH*4+ADMIN_Y1+ADMIN_GROWTH*4)*12</f>
        <v>12600</v>
      </c>
    </row>
    <row r="28" customFormat="false" ht="15" hidden="false" customHeight="false" outlineLevel="0" collapsed="false">
      <c r="A28" s="32" t="s">
        <v>158</v>
      </c>
      <c r="B28" s="50" t="n">
        <f aca="false">B25+B26+B27</f>
        <v>41329.1095890411</v>
      </c>
      <c r="C28" s="50" t="n">
        <f aca="false">C25+C26+C27</f>
        <v>46134.2465753425</v>
      </c>
      <c r="D28" s="50" t="n">
        <f aca="false">D25+D26+D27</f>
        <v>47934.2465753425</v>
      </c>
      <c r="E28" s="50" t="n">
        <f aca="false">E25+E26+E27</f>
        <v>49734.2465753425</v>
      </c>
      <c r="F28" s="50" t="n">
        <f aca="false">F25+F26+F27</f>
        <v>51534.2465753425</v>
      </c>
    </row>
    <row r="30" customFormat="false" ht="15" hidden="false" customHeight="false" outlineLevel="0" collapsed="false">
      <c r="A30" s="2" t="s">
        <v>159</v>
      </c>
      <c r="B30" s="3"/>
      <c r="C30" s="3"/>
      <c r="D30" s="3"/>
      <c r="E30" s="3"/>
      <c r="F30" s="3"/>
    </row>
    <row r="32" customFormat="false" ht="15" hidden="false" customHeight="false" outlineLevel="0" collapsed="false">
      <c r="A32" s="32" t="s">
        <v>159</v>
      </c>
      <c r="B32" s="50" t="n">
        <f aca="false">B21-B28</f>
        <v>30868.1506849315</v>
      </c>
      <c r="C32" s="50" t="n">
        <f aca="false">C21-C28</f>
        <v>58551.7808219178</v>
      </c>
      <c r="D32" s="50" t="n">
        <f aca="false">D21-D28</f>
        <v>88157.5890410959</v>
      </c>
      <c r="E32" s="50" t="n">
        <f aca="false">E21-E28</f>
        <v>113575.956164384</v>
      </c>
      <c r="F32" s="50" t="n">
        <f aca="false">F21-F28</f>
        <v>136272.486575342</v>
      </c>
    </row>
    <row r="33" customFormat="false" ht="15" hidden="false" customHeight="false" outlineLevel="0" collapsed="false">
      <c r="A33" s="54" t="s">
        <v>160</v>
      </c>
      <c r="B33" s="55" t="n">
        <f aca="false">B32/B21</f>
        <v>0.42755293715847</v>
      </c>
      <c r="C33" s="55" t="n">
        <f aca="false">C32/C21</f>
        <v>0.559308460523836</v>
      </c>
      <c r="D33" s="55" t="n">
        <f aca="false">D32/D21</f>
        <v>0.647780145236335</v>
      </c>
      <c r="E33" s="55" t="n">
        <f aca="false">E32/E21</f>
        <v>0.69546148531451</v>
      </c>
      <c r="F33" s="55" t="n">
        <f aca="false">F32/F21</f>
        <v>0.725599579361223</v>
      </c>
    </row>
    <row r="35" customFormat="false" ht="15" hidden="false" customHeight="false" outlineLevel="0" collapsed="false">
      <c r="A35" s="2" t="s">
        <v>161</v>
      </c>
      <c r="B35" s="3"/>
      <c r="C35" s="3"/>
      <c r="D35" s="3"/>
      <c r="E35" s="3"/>
      <c r="F35" s="3"/>
    </row>
    <row r="37" customFormat="false" ht="15" hidden="false" customHeight="false" outlineLevel="0" collapsed="false">
      <c r="A37" s="8" t="s">
        <v>162</v>
      </c>
      <c r="B37" s="11" t="n">
        <v>1</v>
      </c>
      <c r="C37" s="31" t="n">
        <f aca="false">C5-B5</f>
        <v>0</v>
      </c>
      <c r="D37" s="31" t="n">
        <f aca="false">D5-C5</f>
        <v>0</v>
      </c>
      <c r="E37" s="31" t="n">
        <f aca="false">E5-D5</f>
        <v>0</v>
      </c>
      <c r="F37" s="31" t="n">
        <f aca="false">F5-E5</f>
        <v>0</v>
      </c>
    </row>
    <row r="38" customFormat="false" ht="15" hidden="false" customHeight="false" outlineLevel="0" collapsed="false">
      <c r="A38" s="8" t="s">
        <v>163</v>
      </c>
      <c r="B38" s="11" t="n">
        <v>1</v>
      </c>
      <c r="C38" s="31" t="n">
        <f aca="false">C6-B6</f>
        <v>0</v>
      </c>
      <c r="D38" s="31" t="n">
        <f aca="false">D6-C6</f>
        <v>0</v>
      </c>
      <c r="E38" s="31" t="n">
        <f aca="false">E6-D6</f>
        <v>0</v>
      </c>
      <c r="F38" s="31" t="n">
        <f aca="false">F6-E6</f>
        <v>0</v>
      </c>
    </row>
    <row r="39" customFormat="false" ht="15" hidden="false" customHeight="false" outlineLevel="0" collapsed="false">
      <c r="A39" s="8" t="s">
        <v>164</v>
      </c>
      <c r="B39" s="10" t="n">
        <f aca="false">Y1_CAPEX_Worst</f>
        <v>17250</v>
      </c>
      <c r="C39" s="10" t="n">
        <f aca="false">C37*(VAN_PRICE+CREW_TOOLKIT)+C38*MINI_KIT</f>
        <v>0</v>
      </c>
      <c r="D39" s="10" t="n">
        <f aca="false">D37*(VAN_PRICE+CREW_TOOLKIT)+D38*MINI_KIT</f>
        <v>0</v>
      </c>
      <c r="E39" s="10" t="n">
        <f aca="false">E37*(VAN_PRICE+CREW_TOOLKIT)+E38*MINI_KIT</f>
        <v>0</v>
      </c>
      <c r="F39" s="10" t="n">
        <f aca="false">F37*(VAN_PRICE+CREW_TOOLKIT)+F38*MINI_KIT</f>
        <v>0</v>
      </c>
    </row>
    <row r="40" customFormat="false" ht="15" hidden="false" customHeight="false" outlineLevel="0" collapsed="false">
      <c r="A40" s="32" t="s">
        <v>165</v>
      </c>
      <c r="B40" s="50" t="n">
        <f aca="false">B32-B39</f>
        <v>13618.1506849315</v>
      </c>
      <c r="C40" s="50" t="n">
        <f aca="false">C32-C39</f>
        <v>58551.7808219178</v>
      </c>
      <c r="D40" s="50" t="n">
        <f aca="false">D32-D39</f>
        <v>88157.5890410959</v>
      </c>
      <c r="E40" s="50" t="n">
        <f aca="false">E32-E39</f>
        <v>113575.956164384</v>
      </c>
      <c r="F40" s="50" t="n">
        <f aca="false">F32-F39</f>
        <v>136272.486575342</v>
      </c>
    </row>
    <row r="41" customFormat="false" ht="15" hidden="false" customHeight="false" outlineLevel="0" collapsed="false">
      <c r="A41" s="32" t="s">
        <v>166</v>
      </c>
      <c r="B41" s="50" t="n">
        <f aca="false">B40</f>
        <v>13618.1506849315</v>
      </c>
      <c r="C41" s="50" t="n">
        <f aca="false">B41+C40</f>
        <v>72169.9315068493</v>
      </c>
      <c r="D41" s="50" t="n">
        <f aca="false">C41+D40</f>
        <v>160327.520547945</v>
      </c>
      <c r="E41" s="50" t="n">
        <f aca="false">D41+E40</f>
        <v>273903.476712329</v>
      </c>
      <c r="F41" s="50" t="n">
        <f aca="false">E41+F40</f>
        <v>410175.963287671</v>
      </c>
    </row>
    <row r="44" customFormat="false" ht="15" hidden="false" customHeight="false" outlineLevel="0" collapsed="false">
      <c r="A44" s="2" t="s">
        <v>167</v>
      </c>
      <c r="B44" s="3"/>
      <c r="C44" s="3"/>
      <c r="D44" s="3"/>
      <c r="E44" s="3"/>
      <c r="F44" s="3"/>
    </row>
    <row r="45" customFormat="false" ht="15" hidden="false" customHeight="false" outlineLevel="0" collapsed="false">
      <c r="A45" s="56"/>
      <c r="B45" s="7" t="s">
        <v>83</v>
      </c>
      <c r="C45" s="7" t="s">
        <v>84</v>
      </c>
      <c r="D45" s="7" t="s">
        <v>85</v>
      </c>
      <c r="E45" s="7" t="s">
        <v>86</v>
      </c>
      <c r="F45" s="7" t="s">
        <v>87</v>
      </c>
    </row>
    <row r="46" customFormat="false" ht="15" hidden="false" customHeight="false" outlineLevel="0" collapsed="false">
      <c r="A46" s="8" t="s">
        <v>88</v>
      </c>
      <c r="B46" s="11" t="n">
        <v>1</v>
      </c>
      <c r="C46" s="11" t="n">
        <v>1</v>
      </c>
      <c r="D46" s="11" t="n">
        <v>1</v>
      </c>
      <c r="E46" s="11" t="n">
        <v>1</v>
      </c>
      <c r="F46" s="11" t="n">
        <v>1</v>
      </c>
    </row>
    <row r="47" customFormat="false" ht="15" hidden="false" customHeight="false" outlineLevel="0" collapsed="false">
      <c r="A47" s="8" t="s">
        <v>89</v>
      </c>
      <c r="B47" s="11" t="n">
        <v>1</v>
      </c>
      <c r="C47" s="11" t="n">
        <v>1</v>
      </c>
      <c r="D47" s="11" t="n">
        <v>1</v>
      </c>
      <c r="E47" s="11" t="n">
        <v>1</v>
      </c>
      <c r="F47" s="11" t="n">
        <v>1</v>
      </c>
    </row>
    <row r="48" customFormat="false" ht="15" hidden="false" customHeight="false" outlineLevel="0" collapsed="false">
      <c r="A48" s="8" t="s">
        <v>90</v>
      </c>
      <c r="B48" s="11" t="n">
        <v>0</v>
      </c>
      <c r="C48" s="11" t="n">
        <v>0</v>
      </c>
      <c r="D48" s="11" t="n">
        <v>0</v>
      </c>
      <c r="E48" s="11" t="n">
        <v>0</v>
      </c>
      <c r="F48" s="11" t="n">
        <v>0</v>
      </c>
    </row>
    <row r="49" customFormat="false" ht="15" hidden="false" customHeight="false" outlineLevel="0" collapsed="false">
      <c r="A49" s="32" t="s">
        <v>142</v>
      </c>
      <c r="B49" s="33" t="n">
        <f aca="false">MIN(B46*IF(B48=1,'Capacity Model'!$B$14,'Capacity Model'!$B$13)/BLEND_HVISITS,B47*IF(B48=1,'Capacity Model'!$B$16,'Capacity Model'!$B$15)/BLEND_LVISITS)</f>
        <v>610.434782608696</v>
      </c>
      <c r="C49" s="33" t="n">
        <f aca="false">MIN(C46*IF(C48=1,'Capacity Model'!$B$14,'Capacity Model'!$B$13)/BLEND_HVISITS,C47*IF(C48=1,'Capacity Model'!$B$16,'Capacity Model'!$B$15)/BLEND_LVISITS)</f>
        <v>610.434782608696</v>
      </c>
      <c r="D49" s="33" t="n">
        <f aca="false">MIN(D46*IF(D48=1,'Capacity Model'!$B$14,'Capacity Model'!$B$13)/BLEND_HVISITS,D47*IF(D48=1,'Capacity Model'!$B$16,'Capacity Model'!$B$15)/BLEND_LVISITS)</f>
        <v>610.434782608696</v>
      </c>
      <c r="E49" s="33" t="n">
        <f aca="false">MIN(E46*IF(E48=1,'Capacity Model'!$B$14,'Capacity Model'!$B$13)/BLEND_HVISITS,E47*IF(E48=1,'Capacity Model'!$B$16,'Capacity Model'!$B$15)/BLEND_LVISITS)</f>
        <v>610.434782608696</v>
      </c>
      <c r="F49" s="33" t="n">
        <f aca="false">MIN(F46*IF(F48=1,'Capacity Model'!$B$14,'Capacity Model'!$B$13)/BLEND_HVISITS,F47*IF(F48=1,'Capacity Model'!$B$16,'Capacity Model'!$B$15)/BLEND_LVISITS)</f>
        <v>610.434782608696</v>
      </c>
    </row>
    <row r="50" customFormat="false" ht="15" hidden="false" customHeight="false" outlineLevel="0" collapsed="false">
      <c r="A50" s="8" t="s">
        <v>143</v>
      </c>
      <c r="B50" s="11" t="n">
        <v>0</v>
      </c>
      <c r="C50" s="31" t="n">
        <f aca="false">B52</f>
        <v>220</v>
      </c>
      <c r="D50" s="31" t="n">
        <f aca="false">C52</f>
        <v>319</v>
      </c>
      <c r="E50" s="31" t="n">
        <f aca="false">D52</f>
        <v>414.7</v>
      </c>
      <c r="F50" s="31" t="n">
        <f aca="false">E52</f>
        <v>497.64</v>
      </c>
    </row>
    <row r="51" customFormat="false" ht="15" hidden="false" customHeight="false" outlineLevel="0" collapsed="false">
      <c r="A51" s="8" t="s">
        <v>144</v>
      </c>
      <c r="B51" s="31" t="n">
        <v>0</v>
      </c>
      <c r="C51" s="31" t="n">
        <f aca="false">C50*(1-CHURN_RATE)</f>
        <v>187</v>
      </c>
      <c r="D51" s="31" t="n">
        <f aca="false">D50*(1-CHURN_RATE)</f>
        <v>271.15</v>
      </c>
      <c r="E51" s="31" t="n">
        <f aca="false">E50*(1-CHURN_RATE)</f>
        <v>352.495</v>
      </c>
      <c r="F51" s="31" t="n">
        <f aca="false">F50*(1-CHURN_RATE)</f>
        <v>422.994</v>
      </c>
    </row>
    <row r="52" customFormat="false" ht="15" hidden="false" customHeight="false" outlineLevel="0" collapsed="false">
      <c r="A52" s="32" t="s">
        <v>145</v>
      </c>
      <c r="B52" s="33" t="n">
        <f aca="false">Y1_EOY_CLIENTS_Normal</f>
        <v>220</v>
      </c>
      <c r="C52" s="33" t="n">
        <f aca="false">MIN(C50*(1+GROWTH_Y2),C49)</f>
        <v>319</v>
      </c>
      <c r="D52" s="33" t="n">
        <f aca="false">MIN(D50*(1+GROWTH_Y3),D49)</f>
        <v>414.7</v>
      </c>
      <c r="E52" s="33" t="n">
        <f aca="false">MIN(E50*(1+GROWTH_Y4),E49)</f>
        <v>497.64</v>
      </c>
      <c r="F52" s="33" t="n">
        <f aca="false">MIN(F50*(1+GROWTH_Y5),F49)</f>
        <v>572.286</v>
      </c>
    </row>
    <row r="53" customFormat="false" ht="15" hidden="false" customHeight="false" outlineLevel="0" collapsed="false">
      <c r="A53" s="8" t="s">
        <v>146</v>
      </c>
      <c r="B53" s="31" t="n">
        <f aca="false">B52</f>
        <v>220</v>
      </c>
      <c r="C53" s="31" t="n">
        <f aca="false">C52-C51</f>
        <v>132</v>
      </c>
      <c r="D53" s="31" t="n">
        <f aca="false">D52-D51</f>
        <v>143.55</v>
      </c>
      <c r="E53" s="31" t="n">
        <f aca="false">E52-E51</f>
        <v>145.145</v>
      </c>
      <c r="F53" s="31" t="n">
        <f aca="false">F52-F51</f>
        <v>149.292</v>
      </c>
    </row>
    <row r="54" customFormat="false" ht="15" hidden="false" customHeight="false" outlineLevel="0" collapsed="false">
      <c r="A54" s="8" t="s">
        <v>147</v>
      </c>
      <c r="B54" s="31" t="n">
        <v>0</v>
      </c>
      <c r="C54" s="31" t="n">
        <f aca="false">C50*CHURN_RATE</f>
        <v>33</v>
      </c>
      <c r="D54" s="31" t="n">
        <f aca="false">D50*CHURN_RATE</f>
        <v>47.85</v>
      </c>
      <c r="E54" s="31" t="n">
        <f aca="false">E50*CHURN_RATE</f>
        <v>62.205</v>
      </c>
      <c r="F54" s="31" t="n">
        <f aca="false">F50*CHURN_RATE</f>
        <v>74.646</v>
      </c>
    </row>
    <row r="55" customFormat="false" ht="15" hidden="false" customHeight="false" outlineLevel="0" collapsed="false">
      <c r="A55" s="8" t="s">
        <v>148</v>
      </c>
      <c r="B55" s="31" t="n">
        <f aca="false">AVERAGE('Y1 Monthly Build'!M3:M14)</f>
        <v>108.833333333333</v>
      </c>
      <c r="C55" s="31" t="n">
        <f aca="false">(C50+C52)/2</f>
        <v>269.5</v>
      </c>
      <c r="D55" s="31" t="n">
        <f aca="false">(D50+D52)/2</f>
        <v>366.85</v>
      </c>
      <c r="E55" s="31" t="n">
        <f aca="false">(E50+E52)/2</f>
        <v>456.17</v>
      </c>
      <c r="F55" s="31" t="n">
        <f aca="false">(F50+F52)/2</f>
        <v>534.963</v>
      </c>
    </row>
    <row r="56" customFormat="false" ht="15" hidden="false" customHeight="false" outlineLevel="0" collapsed="false">
      <c r="A56" s="39" t="s">
        <v>149</v>
      </c>
      <c r="B56" s="53" t="n">
        <f aca="false">B52/B49</f>
        <v>0.36039886039886</v>
      </c>
      <c r="C56" s="53" t="n">
        <f aca="false">C52/C49</f>
        <v>0.522578347578348</v>
      </c>
      <c r="D56" s="53" t="n">
        <f aca="false">D52/D49</f>
        <v>0.679351851851852</v>
      </c>
      <c r="E56" s="53" t="n">
        <f aca="false">E52/E49</f>
        <v>0.815222222222222</v>
      </c>
      <c r="F56" s="53" t="n">
        <f aca="false">F52/F49</f>
        <v>0.937505555555555</v>
      </c>
    </row>
    <row r="58" customFormat="false" ht="15" hidden="false" customHeight="false" outlineLevel="0" collapsed="false">
      <c r="A58" s="2" t="s">
        <v>150</v>
      </c>
      <c r="B58" s="3"/>
      <c r="C58" s="3"/>
      <c r="D58" s="3"/>
      <c r="E58" s="3"/>
      <c r="F58" s="3"/>
    </row>
    <row r="60" customFormat="false" ht="15" hidden="false" customHeight="false" outlineLevel="0" collapsed="false">
      <c r="A60" s="8" t="s">
        <v>151</v>
      </c>
      <c r="B60" s="10" t="n">
        <f aca="false">B52*BLEND_PRICE_AMD/FX</f>
        <v>110301.369863014</v>
      </c>
      <c r="C60" s="10" t="n">
        <f aca="false">C52*BLEND_PRICE_AMD/FX</f>
        <v>159936.98630137</v>
      </c>
      <c r="D60" s="10" t="n">
        <f aca="false">D52*BLEND_PRICE_AMD/FX</f>
        <v>207918.082191781</v>
      </c>
      <c r="E60" s="10" t="n">
        <f aca="false">E52*BLEND_PRICE_AMD/FX</f>
        <v>249501.698630137</v>
      </c>
      <c r="F60" s="10" t="n">
        <f aca="false">F52*BLEND_PRICE_AMD/FX</f>
        <v>286926.953424658</v>
      </c>
    </row>
    <row r="61" customFormat="false" ht="15" hidden="false" customHeight="false" outlineLevel="0" collapsed="false">
      <c r="A61" s="8" t="s">
        <v>152</v>
      </c>
      <c r="B61" s="10" t="n">
        <f aca="false">B60*TAX_RATE</f>
        <v>11030.1369863014</v>
      </c>
      <c r="C61" s="10" t="n">
        <f aca="false">C60*TAX_RATE</f>
        <v>15993.698630137</v>
      </c>
      <c r="D61" s="10" t="n">
        <f aca="false">D60*TAX_RATE</f>
        <v>20791.8082191781</v>
      </c>
      <c r="E61" s="10" t="n">
        <f aca="false">E60*TAX_RATE</f>
        <v>24950.1698630137</v>
      </c>
      <c r="F61" s="10" t="n">
        <f aca="false">F60*TAX_RATE</f>
        <v>28692.6953424658</v>
      </c>
    </row>
    <row r="62" customFormat="false" ht="15" hidden="false" customHeight="false" outlineLevel="0" collapsed="false">
      <c r="A62" s="32" t="s">
        <v>153</v>
      </c>
      <c r="B62" s="50" t="n">
        <f aca="false">B60-B61</f>
        <v>99271.2328767123</v>
      </c>
      <c r="C62" s="50" t="n">
        <f aca="false">C60-C61</f>
        <v>143943.287671233</v>
      </c>
      <c r="D62" s="50" t="n">
        <f aca="false">D60-D61</f>
        <v>187126.273972603</v>
      </c>
      <c r="E62" s="50" t="n">
        <f aca="false">E60-E61</f>
        <v>224551.528767123</v>
      </c>
      <c r="F62" s="50" t="n">
        <f aca="false">F60-F61</f>
        <v>258234.258082192</v>
      </c>
    </row>
    <row r="64" customFormat="false" ht="15" hidden="false" customHeight="false" outlineLevel="0" collapsed="false">
      <c r="A64" s="2" t="s">
        <v>154</v>
      </c>
      <c r="B64" s="3"/>
      <c r="C64" s="3"/>
      <c r="D64" s="3"/>
      <c r="E64" s="3"/>
      <c r="F64" s="3"/>
    </row>
    <row r="66" customFormat="false" ht="15" hidden="false" customHeight="false" outlineLevel="0" collapsed="false">
      <c r="A66" s="8" t="s">
        <v>155</v>
      </c>
      <c r="B66" s="10" t="n">
        <f aca="false">Y1_CREW_COST_Normal</f>
        <v>26913.698630137</v>
      </c>
      <c r="C66" s="10" t="n">
        <f aca="false">C46*FULL_ANNUAL_COST</f>
        <v>26913.698630137</v>
      </c>
      <c r="D66" s="10" t="n">
        <f aca="false">D46*FULL_ANNUAL_COST</f>
        <v>26913.698630137</v>
      </c>
      <c r="E66" s="10" t="n">
        <f aca="false">E46*FULL_ANNUAL_COST</f>
        <v>26913.698630137</v>
      </c>
      <c r="F66" s="10" t="n">
        <f aca="false">F46*FULL_ANNUAL_COST</f>
        <v>26913.698630137</v>
      </c>
    </row>
    <row r="67" customFormat="false" ht="15" hidden="false" customHeight="false" outlineLevel="0" collapsed="false">
      <c r="A67" s="8" t="s">
        <v>156</v>
      </c>
      <c r="B67" s="10" t="n">
        <f aca="false">Y1_MINI_COST_Normal</f>
        <v>9015.41095890411</v>
      </c>
      <c r="C67" s="10" t="n">
        <f aca="false">C47*MINI_ANNUAL_COST</f>
        <v>12020.5479452055</v>
      </c>
      <c r="D67" s="10" t="n">
        <f aca="false">D47*MINI_ANNUAL_COST</f>
        <v>12020.5479452055</v>
      </c>
      <c r="E67" s="10" t="n">
        <f aca="false">E47*MINI_ANNUAL_COST</f>
        <v>12020.5479452055</v>
      </c>
      <c r="F67" s="10" t="n">
        <f aca="false">F47*MINI_ANNUAL_COST</f>
        <v>12020.5479452055</v>
      </c>
    </row>
    <row r="68" customFormat="false" ht="15" hidden="false" customHeight="false" outlineLevel="0" collapsed="false">
      <c r="A68" s="8" t="s">
        <v>157</v>
      </c>
      <c r="B68" s="10" t="n">
        <f aca="false">Y1_MKT_COST_Normal</f>
        <v>5400</v>
      </c>
      <c r="C68" s="10" t="n">
        <f aca="false">(MKT_Y1+MKT_GROWTH*1+ADMIN_Y1+ADMIN_GROWTH*1)*12</f>
        <v>7200</v>
      </c>
      <c r="D68" s="10" t="n">
        <f aca="false">(MKT_Y1+MKT_GROWTH*2+ADMIN_Y1+ADMIN_GROWTH*2)*12</f>
        <v>9000</v>
      </c>
      <c r="E68" s="10" t="n">
        <f aca="false">(MKT_Y1+MKT_GROWTH*3+ADMIN_Y1+ADMIN_GROWTH*3)*12</f>
        <v>10800</v>
      </c>
      <c r="F68" s="10" t="n">
        <f aca="false">(MKT_Y1+MKT_GROWTH*4+ADMIN_Y1+ADMIN_GROWTH*4)*12</f>
        <v>12600</v>
      </c>
    </row>
    <row r="69" customFormat="false" ht="15" hidden="false" customHeight="false" outlineLevel="0" collapsed="false">
      <c r="A69" s="32" t="s">
        <v>158</v>
      </c>
      <c r="B69" s="50" t="n">
        <f aca="false">B66+B67+B68</f>
        <v>41329.1095890411</v>
      </c>
      <c r="C69" s="50" t="n">
        <f aca="false">C66+C67+C68</f>
        <v>46134.2465753425</v>
      </c>
      <c r="D69" s="50" t="n">
        <f aca="false">D66+D67+D68</f>
        <v>47934.2465753425</v>
      </c>
      <c r="E69" s="50" t="n">
        <f aca="false">E66+E67+E68</f>
        <v>49734.2465753425</v>
      </c>
      <c r="F69" s="50" t="n">
        <f aca="false">F66+F67+F68</f>
        <v>51534.2465753425</v>
      </c>
    </row>
    <row r="71" customFormat="false" ht="15" hidden="false" customHeight="false" outlineLevel="0" collapsed="false">
      <c r="A71" s="2" t="s">
        <v>159</v>
      </c>
      <c r="B71" s="3"/>
      <c r="C71" s="3"/>
      <c r="D71" s="3"/>
      <c r="E71" s="3"/>
      <c r="F71" s="3"/>
    </row>
    <row r="73" customFormat="false" ht="15" hidden="false" customHeight="false" outlineLevel="0" collapsed="false">
      <c r="A73" s="32" t="s">
        <v>159</v>
      </c>
      <c r="B73" s="50" t="n">
        <f aca="false">B62-B69</f>
        <v>57942.1232876712</v>
      </c>
      <c r="C73" s="50" t="n">
        <f aca="false">C62-C69</f>
        <v>97809.0410958904</v>
      </c>
      <c r="D73" s="50" t="n">
        <f aca="false">D62-D69</f>
        <v>139192.02739726</v>
      </c>
      <c r="E73" s="50" t="n">
        <f aca="false">E62-E69</f>
        <v>174817.282191781</v>
      </c>
      <c r="F73" s="50" t="n">
        <f aca="false">F62-F69</f>
        <v>206700.011506849</v>
      </c>
    </row>
    <row r="74" customFormat="false" ht="15" hidden="false" customHeight="false" outlineLevel="0" collapsed="false">
      <c r="A74" s="54" t="s">
        <v>160</v>
      </c>
      <c r="B74" s="55" t="n">
        <f aca="false">B73/B62</f>
        <v>0.583674863387978</v>
      </c>
      <c r="C74" s="55" t="n">
        <f aca="false">C73/C62</f>
        <v>0.679497062199154</v>
      </c>
      <c r="D74" s="55" t="n">
        <f aca="false">D73/D62</f>
        <v>0.743840105626426</v>
      </c>
      <c r="E74" s="55" t="n">
        <f aca="false">E73/E62</f>
        <v>0.778517443865098</v>
      </c>
      <c r="F74" s="55" t="n">
        <f aca="false">F73/F62</f>
        <v>0.800436057717253</v>
      </c>
    </row>
    <row r="76" customFormat="false" ht="15" hidden="false" customHeight="false" outlineLevel="0" collapsed="false">
      <c r="A76" s="2" t="s">
        <v>161</v>
      </c>
      <c r="B76" s="3"/>
      <c r="C76" s="3"/>
      <c r="D76" s="3"/>
      <c r="E76" s="3"/>
      <c r="F76" s="3"/>
    </row>
    <row r="78" customFormat="false" ht="15" hidden="false" customHeight="false" outlineLevel="0" collapsed="false">
      <c r="A78" s="8" t="s">
        <v>162</v>
      </c>
      <c r="B78" s="11" t="n">
        <v>1</v>
      </c>
      <c r="C78" s="31" t="n">
        <f aca="false">C46-B46</f>
        <v>0</v>
      </c>
      <c r="D78" s="31" t="n">
        <f aca="false">D46-C46</f>
        <v>0</v>
      </c>
      <c r="E78" s="31" t="n">
        <f aca="false">E46-D46</f>
        <v>0</v>
      </c>
      <c r="F78" s="31" t="n">
        <f aca="false">F46-E46</f>
        <v>0</v>
      </c>
    </row>
    <row r="79" customFormat="false" ht="15" hidden="false" customHeight="false" outlineLevel="0" collapsed="false">
      <c r="A79" s="8" t="s">
        <v>163</v>
      </c>
      <c r="B79" s="11" t="n">
        <v>1</v>
      </c>
      <c r="C79" s="31" t="n">
        <f aca="false">C47-B47</f>
        <v>0</v>
      </c>
      <c r="D79" s="31" t="n">
        <f aca="false">D47-C47</f>
        <v>0</v>
      </c>
      <c r="E79" s="31" t="n">
        <f aca="false">E47-D47</f>
        <v>0</v>
      </c>
      <c r="F79" s="31" t="n">
        <f aca="false">F47-E47</f>
        <v>0</v>
      </c>
    </row>
    <row r="80" customFormat="false" ht="15" hidden="false" customHeight="false" outlineLevel="0" collapsed="false">
      <c r="A80" s="8" t="s">
        <v>164</v>
      </c>
      <c r="B80" s="10" t="n">
        <f aca="false">Y1_CAPEX_Normal</f>
        <v>17250</v>
      </c>
      <c r="C80" s="10" t="n">
        <f aca="false">C78*(VAN_PRICE+CREW_TOOLKIT)+C79*MINI_KIT</f>
        <v>0</v>
      </c>
      <c r="D80" s="10" t="n">
        <f aca="false">D78*(VAN_PRICE+CREW_TOOLKIT)+D79*MINI_KIT</f>
        <v>0</v>
      </c>
      <c r="E80" s="10" t="n">
        <f aca="false">E78*(VAN_PRICE+CREW_TOOLKIT)+E79*MINI_KIT</f>
        <v>0</v>
      </c>
      <c r="F80" s="10" t="n">
        <f aca="false">F78*(VAN_PRICE+CREW_TOOLKIT)+F79*MINI_KIT</f>
        <v>0</v>
      </c>
    </row>
    <row r="81" customFormat="false" ht="15" hidden="false" customHeight="false" outlineLevel="0" collapsed="false">
      <c r="A81" s="32" t="s">
        <v>165</v>
      </c>
      <c r="B81" s="50" t="n">
        <f aca="false">B73-B80</f>
        <v>40692.1232876712</v>
      </c>
      <c r="C81" s="50" t="n">
        <f aca="false">C73-C80</f>
        <v>97809.0410958904</v>
      </c>
      <c r="D81" s="50" t="n">
        <f aca="false">D73-D80</f>
        <v>139192.02739726</v>
      </c>
      <c r="E81" s="50" t="n">
        <f aca="false">E73-E80</f>
        <v>174817.282191781</v>
      </c>
      <c r="F81" s="50" t="n">
        <f aca="false">F73-F80</f>
        <v>206700.011506849</v>
      </c>
    </row>
    <row r="82" customFormat="false" ht="15" hidden="false" customHeight="false" outlineLevel="0" collapsed="false">
      <c r="A82" s="32" t="s">
        <v>166</v>
      </c>
      <c r="B82" s="50" t="n">
        <f aca="false">B81</f>
        <v>40692.1232876712</v>
      </c>
      <c r="C82" s="50" t="n">
        <f aca="false">B82+C81</f>
        <v>138501.164383562</v>
      </c>
      <c r="D82" s="50" t="n">
        <f aca="false">C82+D81</f>
        <v>277693.191780822</v>
      </c>
      <c r="E82" s="50" t="n">
        <f aca="false">D82+E81</f>
        <v>452510.473972603</v>
      </c>
      <c r="F82" s="50" t="n">
        <f aca="false">E82+F81</f>
        <v>659210.485479452</v>
      </c>
    </row>
    <row r="85" customFormat="false" ht="15" hidden="false" customHeight="false" outlineLevel="0" collapsed="false">
      <c r="A85" s="2" t="s">
        <v>168</v>
      </c>
      <c r="B85" s="3"/>
      <c r="C85" s="3"/>
      <c r="D85" s="3"/>
      <c r="E85" s="3"/>
      <c r="F85" s="3"/>
    </row>
    <row r="86" customFormat="false" ht="15" hidden="false" customHeight="false" outlineLevel="0" collapsed="false">
      <c r="A86" s="57"/>
      <c r="B86" s="7" t="s">
        <v>83</v>
      </c>
      <c r="C86" s="7" t="s">
        <v>84</v>
      </c>
      <c r="D86" s="7" t="s">
        <v>85</v>
      </c>
      <c r="E86" s="7" t="s">
        <v>86</v>
      </c>
      <c r="F86" s="7" t="s">
        <v>87</v>
      </c>
    </row>
    <row r="87" customFormat="false" ht="15" hidden="false" customHeight="false" outlineLevel="0" collapsed="false">
      <c r="A87" s="8" t="s">
        <v>88</v>
      </c>
      <c r="B87" s="11" t="n">
        <v>1</v>
      </c>
      <c r="C87" s="11" t="n">
        <v>1</v>
      </c>
      <c r="D87" s="11" t="n">
        <v>1</v>
      </c>
      <c r="E87" s="11" t="n">
        <v>1</v>
      </c>
      <c r="F87" s="11" t="n">
        <v>2</v>
      </c>
    </row>
    <row r="88" customFormat="false" ht="15" hidden="false" customHeight="false" outlineLevel="0" collapsed="false">
      <c r="A88" s="8" t="s">
        <v>89</v>
      </c>
      <c r="B88" s="11" t="n">
        <v>1</v>
      </c>
      <c r="C88" s="11" t="n">
        <v>1</v>
      </c>
      <c r="D88" s="11" t="n">
        <v>1</v>
      </c>
      <c r="E88" s="11" t="n">
        <v>2</v>
      </c>
      <c r="F88" s="11" t="n">
        <v>2</v>
      </c>
    </row>
    <row r="89" customFormat="false" ht="15" hidden="false" customHeight="false" outlineLevel="0" collapsed="false">
      <c r="A89" s="8" t="s">
        <v>90</v>
      </c>
      <c r="B89" s="11" t="n">
        <v>0</v>
      </c>
      <c r="C89" s="11" t="n">
        <v>0</v>
      </c>
      <c r="D89" s="11" t="n">
        <v>0</v>
      </c>
      <c r="E89" s="11" t="n">
        <v>0</v>
      </c>
      <c r="F89" s="11" t="n">
        <v>1</v>
      </c>
    </row>
    <row r="90" customFormat="false" ht="15" hidden="false" customHeight="false" outlineLevel="0" collapsed="false">
      <c r="A90" s="32" t="s">
        <v>142</v>
      </c>
      <c r="B90" s="33" t="n">
        <f aca="false">MIN(B87*IF(B89=1,'Capacity Model'!$B$14,'Capacity Model'!$B$13)/BLEND_HVISITS,B88*IF(B89=1,'Capacity Model'!$B$16,'Capacity Model'!$B$15)/BLEND_LVISITS)</f>
        <v>610.434782608696</v>
      </c>
      <c r="C90" s="33" t="n">
        <f aca="false">MIN(C87*IF(C89=1,'Capacity Model'!$B$14,'Capacity Model'!$B$13)/BLEND_HVISITS,C88*IF(C89=1,'Capacity Model'!$B$16,'Capacity Model'!$B$15)/BLEND_LVISITS)</f>
        <v>610.434782608696</v>
      </c>
      <c r="D90" s="33" t="n">
        <f aca="false">MIN(D87*IF(D89=1,'Capacity Model'!$B$14,'Capacity Model'!$B$13)/BLEND_HVISITS,D88*IF(D89=1,'Capacity Model'!$B$16,'Capacity Model'!$B$15)/BLEND_LVISITS)</f>
        <v>610.434782608696</v>
      </c>
      <c r="E90" s="33" t="n">
        <f aca="false">MIN(E87*IF(E89=1,'Capacity Model'!$B$14,'Capacity Model'!$B$13)/BLEND_HVISITS,E88*IF(E89=1,'Capacity Model'!$B$16,'Capacity Model'!$B$15)/BLEND_LVISITS)</f>
        <v>700.408163265306</v>
      </c>
      <c r="F90" s="33" t="n">
        <f aca="false">MIN(F87*IF(F89=1,'Capacity Model'!$B$14,'Capacity Model'!$B$13)/BLEND_HVISITS,F88*IF(F89=1,'Capacity Model'!$B$16,'Capacity Model'!$B$15)/BLEND_LVISITS)</f>
        <v>1899.13043478261</v>
      </c>
    </row>
    <row r="91" customFormat="false" ht="15" hidden="false" customHeight="false" outlineLevel="0" collapsed="false">
      <c r="A91" s="8" t="s">
        <v>143</v>
      </c>
      <c r="B91" s="11" t="n">
        <v>0</v>
      </c>
      <c r="C91" s="31" t="n">
        <f aca="false">B93</f>
        <v>300</v>
      </c>
      <c r="D91" s="31" t="n">
        <f aca="false">C93</f>
        <v>435</v>
      </c>
      <c r="E91" s="31" t="n">
        <f aca="false">D93</f>
        <v>565.5</v>
      </c>
      <c r="F91" s="31" t="n">
        <f aca="false">E93</f>
        <v>678.6</v>
      </c>
    </row>
    <row r="92" customFormat="false" ht="15" hidden="false" customHeight="false" outlineLevel="0" collapsed="false">
      <c r="A92" s="8" t="s">
        <v>144</v>
      </c>
      <c r="B92" s="31" t="n">
        <v>0</v>
      </c>
      <c r="C92" s="31" t="n">
        <f aca="false">C91*(1-CHURN_RATE)</f>
        <v>255</v>
      </c>
      <c r="D92" s="31" t="n">
        <f aca="false">D91*(1-CHURN_RATE)</f>
        <v>369.75</v>
      </c>
      <c r="E92" s="31" t="n">
        <f aca="false">E91*(1-CHURN_RATE)</f>
        <v>480.675</v>
      </c>
      <c r="F92" s="31" t="n">
        <f aca="false">F91*(1-CHURN_RATE)</f>
        <v>576.81</v>
      </c>
    </row>
    <row r="93" customFormat="false" ht="15" hidden="false" customHeight="false" outlineLevel="0" collapsed="false">
      <c r="A93" s="32" t="s">
        <v>145</v>
      </c>
      <c r="B93" s="33" t="n">
        <f aca="false">Y1_EOY_CLIENTS_Positive</f>
        <v>300</v>
      </c>
      <c r="C93" s="33" t="n">
        <f aca="false">MIN(C91*(1+GROWTH_Y2),C90)</f>
        <v>435</v>
      </c>
      <c r="D93" s="33" t="n">
        <f aca="false">MIN(D91*(1+GROWTH_Y3),D90)</f>
        <v>565.5</v>
      </c>
      <c r="E93" s="33" t="n">
        <f aca="false">MIN(E91*(1+GROWTH_Y4),E90)</f>
        <v>678.6</v>
      </c>
      <c r="F93" s="33" t="n">
        <f aca="false">MIN(F91*(1+GROWTH_Y5),F90)</f>
        <v>780.39</v>
      </c>
    </row>
    <row r="94" customFormat="false" ht="15" hidden="false" customHeight="false" outlineLevel="0" collapsed="false">
      <c r="A94" s="8" t="s">
        <v>146</v>
      </c>
      <c r="B94" s="31" t="n">
        <f aca="false">B93</f>
        <v>300</v>
      </c>
      <c r="C94" s="31" t="n">
        <f aca="false">C93-C92</f>
        <v>180</v>
      </c>
      <c r="D94" s="31" t="n">
        <f aca="false">D93-D92</f>
        <v>195.75</v>
      </c>
      <c r="E94" s="31" t="n">
        <f aca="false">E93-E92</f>
        <v>197.925</v>
      </c>
      <c r="F94" s="31" t="n">
        <f aca="false">F93-F92</f>
        <v>203.58</v>
      </c>
    </row>
    <row r="95" customFormat="false" ht="15" hidden="false" customHeight="false" outlineLevel="0" collapsed="false">
      <c r="A95" s="8" t="s">
        <v>147</v>
      </c>
      <c r="B95" s="31" t="n">
        <v>0</v>
      </c>
      <c r="C95" s="31" t="n">
        <f aca="false">C91*CHURN_RATE</f>
        <v>45</v>
      </c>
      <c r="D95" s="31" t="n">
        <f aca="false">D91*CHURN_RATE</f>
        <v>65.25</v>
      </c>
      <c r="E95" s="31" t="n">
        <f aca="false">E91*CHURN_RATE</f>
        <v>84.825</v>
      </c>
      <c r="F95" s="31" t="n">
        <f aca="false">F91*CHURN_RATE</f>
        <v>101.79</v>
      </c>
    </row>
    <row r="96" customFormat="false" ht="15" hidden="false" customHeight="false" outlineLevel="0" collapsed="false">
      <c r="A96" s="8" t="s">
        <v>148</v>
      </c>
      <c r="B96" s="31" t="n">
        <f aca="false">AVERAGE('Y1 Monthly Build'!W3:W14)</f>
        <v>148</v>
      </c>
      <c r="C96" s="31" t="n">
        <f aca="false">(C91+C93)/2</f>
        <v>367.5</v>
      </c>
      <c r="D96" s="31" t="n">
        <f aca="false">(D91+D93)/2</f>
        <v>500.25</v>
      </c>
      <c r="E96" s="31" t="n">
        <f aca="false">(E91+E93)/2</f>
        <v>622.05</v>
      </c>
      <c r="F96" s="31" t="n">
        <f aca="false">(F91+F93)/2</f>
        <v>729.495</v>
      </c>
    </row>
    <row r="97" customFormat="false" ht="15" hidden="false" customHeight="false" outlineLevel="0" collapsed="false">
      <c r="A97" s="39" t="s">
        <v>149</v>
      </c>
      <c r="B97" s="53" t="n">
        <f aca="false">B93/B90</f>
        <v>0.491452991452991</v>
      </c>
      <c r="C97" s="53" t="n">
        <f aca="false">C93/C90</f>
        <v>0.712606837606838</v>
      </c>
      <c r="D97" s="53" t="n">
        <f aca="false">D93/D90</f>
        <v>0.926388888888889</v>
      </c>
      <c r="E97" s="53" t="n">
        <f aca="false">E93/E90</f>
        <v>0.968863636363637</v>
      </c>
      <c r="F97" s="53" t="n">
        <f aca="false">F93/F90</f>
        <v>0.410919642857143</v>
      </c>
    </row>
    <row r="99" customFormat="false" ht="15" hidden="false" customHeight="false" outlineLevel="0" collapsed="false">
      <c r="A99" s="2" t="s">
        <v>150</v>
      </c>
      <c r="B99" s="3"/>
      <c r="C99" s="3"/>
      <c r="D99" s="3"/>
      <c r="E99" s="3"/>
      <c r="F99" s="3"/>
    </row>
    <row r="101" customFormat="false" ht="15" hidden="false" customHeight="false" outlineLevel="0" collapsed="false">
      <c r="A101" s="8" t="s">
        <v>151</v>
      </c>
      <c r="B101" s="10" t="n">
        <f aca="false">B93*BLEND_PRICE_AMD/FX</f>
        <v>150410.95890411</v>
      </c>
      <c r="C101" s="10" t="n">
        <f aca="false">C93*BLEND_PRICE_AMD/FX</f>
        <v>218095.890410959</v>
      </c>
      <c r="D101" s="10" t="n">
        <f aca="false">D93*BLEND_PRICE_AMD/FX</f>
        <v>283524.657534247</v>
      </c>
      <c r="E101" s="10" t="n">
        <f aca="false">E93*BLEND_PRICE_AMD/FX</f>
        <v>340229.589041096</v>
      </c>
      <c r="F101" s="10" t="n">
        <f aca="false">F93*BLEND_PRICE_AMD/FX</f>
        <v>391264.02739726</v>
      </c>
    </row>
    <row r="102" customFormat="false" ht="15" hidden="false" customHeight="false" outlineLevel="0" collapsed="false">
      <c r="A102" s="8" t="s">
        <v>152</v>
      </c>
      <c r="B102" s="10" t="n">
        <f aca="false">B101*TAX_RATE</f>
        <v>15041.095890411</v>
      </c>
      <c r="C102" s="10" t="n">
        <f aca="false">C101*TAX_RATE</f>
        <v>21809.5890410959</v>
      </c>
      <c r="D102" s="10" t="n">
        <f aca="false">D101*TAX_RATE</f>
        <v>28352.4657534247</v>
      </c>
      <c r="E102" s="10" t="n">
        <f aca="false">E101*TAX_RATE</f>
        <v>34022.9589041096</v>
      </c>
      <c r="F102" s="10" t="n">
        <f aca="false">F101*TAX_RATE</f>
        <v>39126.402739726</v>
      </c>
    </row>
    <row r="103" customFormat="false" ht="15" hidden="false" customHeight="false" outlineLevel="0" collapsed="false">
      <c r="A103" s="32" t="s">
        <v>153</v>
      </c>
      <c r="B103" s="50" t="n">
        <f aca="false">B101-B102</f>
        <v>135369.863013699</v>
      </c>
      <c r="C103" s="50" t="n">
        <f aca="false">C101-C102</f>
        <v>196286.301369863</v>
      </c>
      <c r="D103" s="50" t="n">
        <f aca="false">D101-D102</f>
        <v>255172.191780822</v>
      </c>
      <c r="E103" s="50" t="n">
        <f aca="false">E101-E102</f>
        <v>306206.630136986</v>
      </c>
      <c r="F103" s="50" t="n">
        <f aca="false">F101-F102</f>
        <v>352137.624657534</v>
      </c>
    </row>
    <row r="105" customFormat="false" ht="15" hidden="false" customHeight="false" outlineLevel="0" collapsed="false">
      <c r="A105" s="2" t="s">
        <v>154</v>
      </c>
      <c r="B105" s="3"/>
      <c r="C105" s="3"/>
      <c r="D105" s="3"/>
      <c r="E105" s="3"/>
      <c r="F105" s="3"/>
    </row>
    <row r="107" customFormat="false" ht="15" hidden="false" customHeight="false" outlineLevel="0" collapsed="false">
      <c r="A107" s="8" t="s">
        <v>155</v>
      </c>
      <c r="B107" s="10" t="n">
        <f aca="false">Y1_CREW_COST_Positive</f>
        <v>26913.698630137</v>
      </c>
      <c r="C107" s="10" t="n">
        <f aca="false">C87*FULL_ANNUAL_COST</f>
        <v>26913.698630137</v>
      </c>
      <c r="D107" s="10" t="n">
        <f aca="false">D87*FULL_ANNUAL_COST</f>
        <v>26913.698630137</v>
      </c>
      <c r="E107" s="10" t="n">
        <f aca="false">E87*FULL_ANNUAL_COST</f>
        <v>26913.698630137</v>
      </c>
      <c r="F107" s="10" t="n">
        <f aca="false">F87*FULL_ANNUAL_COST</f>
        <v>53827.397260274</v>
      </c>
    </row>
    <row r="108" customFormat="false" ht="15" hidden="false" customHeight="false" outlineLevel="0" collapsed="false">
      <c r="A108" s="8" t="s">
        <v>156</v>
      </c>
      <c r="B108" s="10" t="n">
        <f aca="false">Y1_MINI_COST_Positive</f>
        <v>9015.41095890411</v>
      </c>
      <c r="C108" s="10" t="n">
        <f aca="false">C88*MINI_ANNUAL_COST</f>
        <v>12020.5479452055</v>
      </c>
      <c r="D108" s="10" t="n">
        <f aca="false">D88*MINI_ANNUAL_COST</f>
        <v>12020.5479452055</v>
      </c>
      <c r="E108" s="10" t="n">
        <f aca="false">E88*MINI_ANNUAL_COST</f>
        <v>24041.095890411</v>
      </c>
      <c r="F108" s="10" t="n">
        <f aca="false">F88*MINI_ANNUAL_COST</f>
        <v>24041.095890411</v>
      </c>
    </row>
    <row r="109" customFormat="false" ht="15" hidden="false" customHeight="false" outlineLevel="0" collapsed="false">
      <c r="A109" s="8" t="s">
        <v>157</v>
      </c>
      <c r="B109" s="10" t="n">
        <f aca="false">Y1_MKT_COST_Positive</f>
        <v>5400</v>
      </c>
      <c r="C109" s="10" t="n">
        <f aca="false">(MKT_Y1+MKT_GROWTH*1+ADMIN_Y1+ADMIN_GROWTH*1)*12</f>
        <v>7200</v>
      </c>
      <c r="D109" s="10" t="n">
        <f aca="false">(MKT_Y1+MKT_GROWTH*2+ADMIN_Y1+ADMIN_GROWTH*2)*12</f>
        <v>9000</v>
      </c>
      <c r="E109" s="10" t="n">
        <f aca="false">(MKT_Y1+MKT_GROWTH*3+ADMIN_Y1+ADMIN_GROWTH*3)*12</f>
        <v>10800</v>
      </c>
      <c r="F109" s="10" t="n">
        <f aca="false">(MKT_Y1+MKT_GROWTH*4+ADMIN_Y1+ADMIN_GROWTH*4)*12</f>
        <v>12600</v>
      </c>
    </row>
    <row r="110" customFormat="false" ht="15" hidden="false" customHeight="false" outlineLevel="0" collapsed="false">
      <c r="A110" s="32" t="s">
        <v>158</v>
      </c>
      <c r="B110" s="50" t="n">
        <f aca="false">B107+B108+B109</f>
        <v>41329.1095890411</v>
      </c>
      <c r="C110" s="50" t="n">
        <f aca="false">C107+C108+C109</f>
        <v>46134.2465753425</v>
      </c>
      <c r="D110" s="50" t="n">
        <f aca="false">D107+D108+D109</f>
        <v>47934.2465753425</v>
      </c>
      <c r="E110" s="50" t="n">
        <f aca="false">E107+E108+E109</f>
        <v>61754.794520548</v>
      </c>
      <c r="F110" s="50" t="n">
        <f aca="false">F107+F108+F109</f>
        <v>90468.4931506849</v>
      </c>
    </row>
    <row r="112" customFormat="false" ht="15" hidden="false" customHeight="false" outlineLevel="0" collapsed="false">
      <c r="A112" s="2" t="s">
        <v>159</v>
      </c>
      <c r="B112" s="3"/>
      <c r="C112" s="3"/>
      <c r="D112" s="3"/>
      <c r="E112" s="3"/>
      <c r="F112" s="3"/>
    </row>
    <row r="114" customFormat="false" ht="15" hidden="false" customHeight="false" outlineLevel="0" collapsed="false">
      <c r="A114" s="32" t="s">
        <v>159</v>
      </c>
      <c r="B114" s="50" t="n">
        <f aca="false">B103-B110</f>
        <v>94040.7534246575</v>
      </c>
      <c r="C114" s="50" t="n">
        <f aca="false">C103-C110</f>
        <v>150152.054794521</v>
      </c>
      <c r="D114" s="50" t="n">
        <f aca="false">D103-D110</f>
        <v>207237.945205479</v>
      </c>
      <c r="E114" s="50" t="n">
        <f aca="false">E103-E110</f>
        <v>244451.835616438</v>
      </c>
      <c r="F114" s="50" t="n">
        <f aca="false">F103-F110</f>
        <v>261669.131506849</v>
      </c>
    </row>
    <row r="115" customFormat="false" ht="15" hidden="false" customHeight="false" outlineLevel="0" collapsed="false">
      <c r="A115" s="54" t="s">
        <v>160</v>
      </c>
      <c r="B115" s="55" t="n">
        <f aca="false">B114/B103</f>
        <v>0.694694899817851</v>
      </c>
      <c r="C115" s="55" t="n">
        <f aca="false">C114/C103</f>
        <v>0.764964512279379</v>
      </c>
      <c r="D115" s="55" t="n">
        <f aca="false">D114/D103</f>
        <v>0.812149410792712</v>
      </c>
      <c r="E115" s="55" t="n">
        <f aca="false">E114/E103</f>
        <v>0.798323130714312</v>
      </c>
      <c r="F115" s="55" t="n">
        <f aca="false">F114/F103</f>
        <v>0.743087682724422</v>
      </c>
    </row>
    <row r="117" customFormat="false" ht="15" hidden="false" customHeight="false" outlineLevel="0" collapsed="false">
      <c r="A117" s="2" t="s">
        <v>161</v>
      </c>
      <c r="B117" s="3"/>
      <c r="C117" s="3"/>
      <c r="D117" s="3"/>
      <c r="E117" s="3"/>
      <c r="F117" s="3"/>
    </row>
    <row r="119" customFormat="false" ht="15" hidden="false" customHeight="false" outlineLevel="0" collapsed="false">
      <c r="A119" s="8" t="s">
        <v>162</v>
      </c>
      <c r="B119" s="11" t="n">
        <v>1</v>
      </c>
      <c r="C119" s="31" t="n">
        <f aca="false">C87-B87</f>
        <v>0</v>
      </c>
      <c r="D119" s="31" t="n">
        <f aca="false">D87-C87</f>
        <v>0</v>
      </c>
      <c r="E119" s="31" t="n">
        <f aca="false">E87-D87</f>
        <v>0</v>
      </c>
      <c r="F119" s="31" t="n">
        <f aca="false">F87-E87</f>
        <v>1</v>
      </c>
    </row>
    <row r="120" customFormat="false" ht="15" hidden="false" customHeight="false" outlineLevel="0" collapsed="false">
      <c r="A120" s="8" t="s">
        <v>163</v>
      </c>
      <c r="B120" s="11" t="n">
        <v>1</v>
      </c>
      <c r="C120" s="31" t="n">
        <f aca="false">C88-B88</f>
        <v>0</v>
      </c>
      <c r="D120" s="31" t="n">
        <f aca="false">D88-C88</f>
        <v>0</v>
      </c>
      <c r="E120" s="31" t="n">
        <f aca="false">E88-D88</f>
        <v>1</v>
      </c>
      <c r="F120" s="31" t="n">
        <f aca="false">F88-E88</f>
        <v>0</v>
      </c>
    </row>
    <row r="121" customFormat="false" ht="15" hidden="false" customHeight="false" outlineLevel="0" collapsed="false">
      <c r="A121" s="8" t="s">
        <v>164</v>
      </c>
      <c r="B121" s="10" t="n">
        <f aca="false">Y1_CAPEX_Positive</f>
        <v>17250</v>
      </c>
      <c r="C121" s="10" t="n">
        <f aca="false">C119*(VAN_PRICE+CREW_TOOLKIT)+C120*MINI_KIT</f>
        <v>0</v>
      </c>
      <c r="D121" s="10" t="n">
        <f aca="false">D119*(VAN_PRICE+CREW_TOOLKIT)+D120*MINI_KIT</f>
        <v>0</v>
      </c>
      <c r="E121" s="10" t="n">
        <f aca="false">E119*(VAN_PRICE+CREW_TOOLKIT)+E120*MINI_KIT</f>
        <v>250</v>
      </c>
      <c r="F121" s="10" t="n">
        <f aca="false">F119*(VAN_PRICE+CREW_TOOLKIT)+F120*MINI_KIT</f>
        <v>16000</v>
      </c>
    </row>
    <row r="122" customFormat="false" ht="15" hidden="false" customHeight="false" outlineLevel="0" collapsed="false">
      <c r="A122" s="32" t="s">
        <v>165</v>
      </c>
      <c r="B122" s="50" t="n">
        <f aca="false">B114-B121</f>
        <v>76790.7534246575</v>
      </c>
      <c r="C122" s="50" t="n">
        <f aca="false">C114-C121</f>
        <v>150152.054794521</v>
      </c>
      <c r="D122" s="50" t="n">
        <f aca="false">D114-D121</f>
        <v>207237.945205479</v>
      </c>
      <c r="E122" s="50" t="n">
        <f aca="false">E114-E121</f>
        <v>244201.835616438</v>
      </c>
      <c r="F122" s="50" t="n">
        <f aca="false">F114-F121</f>
        <v>245669.131506849</v>
      </c>
    </row>
    <row r="123" customFormat="false" ht="15" hidden="false" customHeight="false" outlineLevel="0" collapsed="false">
      <c r="A123" s="32" t="s">
        <v>166</v>
      </c>
      <c r="B123" s="50" t="n">
        <f aca="false">B122</f>
        <v>76790.7534246575</v>
      </c>
      <c r="C123" s="50" t="n">
        <f aca="false">B123+C122</f>
        <v>226942.808219178</v>
      </c>
      <c r="D123" s="50" t="n">
        <f aca="false">C123+D122</f>
        <v>434180.753424658</v>
      </c>
      <c r="E123" s="50" t="n">
        <f aca="false">D123+E122</f>
        <v>678382.589041096</v>
      </c>
      <c r="F123" s="50" t="n">
        <f aca="false">E123+F122</f>
        <v>924051.720547945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20"/>
  </cols>
  <sheetData>
    <row r="1" customFormat="false" ht="16.15" hidden="false" customHeight="false" outlineLevel="0" collapsed="false">
      <c r="A1" s="1" t="s">
        <v>169</v>
      </c>
    </row>
    <row r="3" customFormat="false" ht="15" hidden="false" customHeight="false" outlineLevel="0" collapsed="false">
      <c r="A3" s="58"/>
      <c r="B3" s="59" t="s">
        <v>124</v>
      </c>
      <c r="C3" s="60" t="s">
        <v>125</v>
      </c>
      <c r="D3" s="61" t="s">
        <v>126</v>
      </c>
    </row>
    <row r="4" customFormat="false" ht="15" hidden="false" customHeight="false" outlineLevel="0" collapsed="false">
      <c r="A4" s="8" t="s">
        <v>170</v>
      </c>
      <c r="B4" s="31" t="n">
        <f aca="false">Y1_EOY_CLIENTS_Worst</f>
        <v>160</v>
      </c>
      <c r="C4" s="31" t="n">
        <f aca="false">Y1_EOY_CLIENTS_Normal</f>
        <v>220</v>
      </c>
      <c r="D4" s="31" t="n">
        <f aca="false">Y1_EOY_CLIENTS_Positive</f>
        <v>300</v>
      </c>
    </row>
    <row r="5" customFormat="false" ht="15" hidden="false" customHeight="false" outlineLevel="0" collapsed="false">
      <c r="A5" s="8" t="s">
        <v>171</v>
      </c>
      <c r="B5" s="10" t="n">
        <f aca="false">PNL_Worst_REV_Y1</f>
        <v>72197.2602739726</v>
      </c>
      <c r="C5" s="10" t="n">
        <f aca="false">PNL_Normal_REV_Y1</f>
        <v>99271.2328767123</v>
      </c>
      <c r="D5" s="10" t="n">
        <f aca="false">PNL_Positive_REV_Y1</f>
        <v>135369.863013699</v>
      </c>
    </row>
    <row r="6" customFormat="false" ht="15" hidden="false" customHeight="false" outlineLevel="0" collapsed="false">
      <c r="A6" s="8" t="s">
        <v>172</v>
      </c>
      <c r="B6" s="10" t="n">
        <f aca="false">PNL_Worst_EBITDA_Y1</f>
        <v>30868.1506849315</v>
      </c>
      <c r="C6" s="10" t="n">
        <f aca="false">PNL_Normal_EBITDA_Y1</f>
        <v>57942.1232876712</v>
      </c>
      <c r="D6" s="10" t="n">
        <f aca="false">PNL_Positive_EBITDA_Y1</f>
        <v>94040.7534246575</v>
      </c>
    </row>
    <row r="7" customFormat="false" ht="15" hidden="false" customHeight="false" outlineLevel="0" collapsed="false">
      <c r="A7" s="8" t="s">
        <v>173</v>
      </c>
      <c r="B7" s="10" t="n">
        <f aca="false">Y1_CAPEX_Worst</f>
        <v>17250</v>
      </c>
      <c r="C7" s="10" t="n">
        <f aca="false">Y1_CAPEX_Normal</f>
        <v>17250</v>
      </c>
      <c r="D7" s="10" t="n">
        <f aca="false">Y1_CAPEX_Positive</f>
        <v>17250</v>
      </c>
    </row>
    <row r="8" customFormat="false" ht="15" hidden="false" customHeight="false" outlineLevel="0" collapsed="false">
      <c r="A8" s="8" t="s">
        <v>174</v>
      </c>
      <c r="B8" s="10" t="n">
        <f aca="false">Y1_PEAKCASH_Worst</f>
        <v>-17185.9589041096</v>
      </c>
      <c r="C8" s="10" t="n">
        <f aca="false">Y1_PEAKCASH_Normal</f>
        <v>-16183.2191780822</v>
      </c>
      <c r="D8" s="10" t="n">
        <f aca="false">Y1_PEAKCASH_Positive</f>
        <v>-15180.4794520548</v>
      </c>
    </row>
    <row r="9" customFormat="false" ht="15" hidden="false" customHeight="false" outlineLevel="0" collapsed="false">
      <c r="A9" s="39" t="s">
        <v>175</v>
      </c>
      <c r="B9" s="51" t="n">
        <f aca="false">-MIN(0,B8)*1.15</f>
        <v>19763.852739726</v>
      </c>
      <c r="C9" s="51" t="n">
        <f aca="false">-MIN(0,C8)*1.15</f>
        <v>18610.7020547945</v>
      </c>
      <c r="D9" s="51" t="n">
        <f aca="false">-MIN(0,D8)*1.15</f>
        <v>17457.551369863</v>
      </c>
    </row>
    <row r="11" customFormat="false" ht="15" hidden="false" customHeight="false" outlineLevel="0" collapsed="false">
      <c r="A11" s="2" t="s">
        <v>176</v>
      </c>
      <c r="B11" s="3"/>
      <c r="C11" s="3"/>
      <c r="D11" s="3"/>
    </row>
    <row r="13" customFormat="false" ht="15" hidden="false" customHeight="false" outlineLevel="0" collapsed="false">
      <c r="A13" s="8"/>
      <c r="B13" s="7" t="s">
        <v>177</v>
      </c>
      <c r="C13" s="7" t="s">
        <v>178</v>
      </c>
      <c r="D13" s="7" t="s">
        <v>179</v>
      </c>
      <c r="E13" s="7" t="s">
        <v>180</v>
      </c>
      <c r="F13" s="7" t="s">
        <v>181</v>
      </c>
    </row>
    <row r="14" customFormat="false" ht="15" hidden="false" customHeight="false" outlineLevel="0" collapsed="false">
      <c r="A14" s="62" t="s">
        <v>124</v>
      </c>
      <c r="B14" s="10" t="n">
        <f aca="false">PNL_Worst_EBITDA_Y1</f>
        <v>30868.1506849315</v>
      </c>
      <c r="C14" s="10" t="n">
        <f aca="false">PNL_Worst_EBITDA_Y2</f>
        <v>58551.7808219178</v>
      </c>
      <c r="D14" s="10" t="n">
        <f aca="false">PNL_Worst_EBITDA_Y3</f>
        <v>88157.5890410959</v>
      </c>
      <c r="E14" s="10" t="n">
        <f aca="false">PNL_Worst_EBITDA_Y4</f>
        <v>113575.956164384</v>
      </c>
      <c r="F14" s="10" t="n">
        <f aca="false">PNL_Worst_EBITDA_Y5</f>
        <v>136272.486575342</v>
      </c>
    </row>
    <row r="15" customFormat="false" ht="15" hidden="false" customHeight="false" outlineLevel="0" collapsed="false">
      <c r="A15" s="63" t="s">
        <v>125</v>
      </c>
      <c r="B15" s="10" t="n">
        <f aca="false">PNL_Normal_EBITDA_Y1</f>
        <v>57942.1232876712</v>
      </c>
      <c r="C15" s="10" t="n">
        <f aca="false">PNL_Normal_EBITDA_Y2</f>
        <v>97809.0410958904</v>
      </c>
      <c r="D15" s="10" t="n">
        <f aca="false">PNL_Normal_EBITDA_Y3</f>
        <v>139192.02739726</v>
      </c>
      <c r="E15" s="10" t="n">
        <f aca="false">PNL_Normal_EBITDA_Y4</f>
        <v>174817.282191781</v>
      </c>
      <c r="F15" s="10" t="n">
        <f aca="false">PNL_Normal_EBITDA_Y5</f>
        <v>206700.011506849</v>
      </c>
    </row>
    <row r="16" customFormat="false" ht="15" hidden="false" customHeight="false" outlineLevel="0" collapsed="false">
      <c r="A16" s="64" t="s">
        <v>126</v>
      </c>
      <c r="B16" s="10" t="n">
        <f aca="false">PNL_Positive_EBITDA_Y1</f>
        <v>94040.7534246575</v>
      </c>
      <c r="C16" s="10" t="n">
        <f aca="false">PNL_Positive_EBITDA_Y2</f>
        <v>150152.054794521</v>
      </c>
      <c r="D16" s="10" t="n">
        <f aca="false">PNL_Positive_EBITDA_Y3</f>
        <v>207237.945205479</v>
      </c>
      <c r="E16" s="10" t="n">
        <f aca="false">PNL_Positive_EBITDA_Y4</f>
        <v>244451.835616438</v>
      </c>
      <c r="F16" s="10" t="n">
        <f aca="false">PNL_Positive_EBITDA_Y5</f>
        <v>261669.131506849</v>
      </c>
    </row>
    <row r="18" customFormat="false" ht="15" hidden="false" customHeight="false" outlineLevel="0" collapsed="false">
      <c r="A18" s="2" t="s">
        <v>182</v>
      </c>
      <c r="B18" s="3"/>
      <c r="C18" s="3"/>
      <c r="D18" s="3"/>
    </row>
    <row r="20" customFormat="false" ht="15" hidden="false" customHeight="false" outlineLevel="0" collapsed="false">
      <c r="A20" s="8"/>
      <c r="B20" s="7" t="s">
        <v>177</v>
      </c>
      <c r="C20" s="7" t="s">
        <v>178</v>
      </c>
      <c r="D20" s="7" t="s">
        <v>179</v>
      </c>
      <c r="E20" s="7" t="s">
        <v>180</v>
      </c>
      <c r="F20" s="7" t="s">
        <v>181</v>
      </c>
    </row>
    <row r="21" customFormat="false" ht="15" hidden="false" customHeight="false" outlineLevel="0" collapsed="false">
      <c r="A21" s="62" t="s">
        <v>124</v>
      </c>
      <c r="B21" s="31" t="n">
        <f aca="false">PNL_Worst_CLIENTS_Y1</f>
        <v>160</v>
      </c>
      <c r="C21" s="31" t="n">
        <f aca="false">PNL_Worst_CLIENTS_Y2</f>
        <v>232</v>
      </c>
      <c r="D21" s="31" t="n">
        <f aca="false">PNL_Worst_CLIENTS_Y3</f>
        <v>301.6</v>
      </c>
      <c r="E21" s="31" t="n">
        <f aca="false">PNL_Worst_CLIENTS_Y4</f>
        <v>361.92</v>
      </c>
      <c r="F21" s="31" t="n">
        <f aca="false">PNL_Worst_CLIENTS_Y5</f>
        <v>416.208</v>
      </c>
    </row>
    <row r="22" customFormat="false" ht="15" hidden="false" customHeight="false" outlineLevel="0" collapsed="false">
      <c r="A22" s="63" t="s">
        <v>125</v>
      </c>
      <c r="B22" s="31" t="n">
        <f aca="false">PNL_Normal_CLIENTS_Y1</f>
        <v>220</v>
      </c>
      <c r="C22" s="31" t="n">
        <f aca="false">PNL_Normal_CLIENTS_Y2</f>
        <v>319</v>
      </c>
      <c r="D22" s="31" t="n">
        <f aca="false">PNL_Normal_CLIENTS_Y3</f>
        <v>414.7</v>
      </c>
      <c r="E22" s="31" t="n">
        <f aca="false">PNL_Normal_CLIENTS_Y4</f>
        <v>497.64</v>
      </c>
      <c r="F22" s="31" t="n">
        <f aca="false">PNL_Normal_CLIENTS_Y5</f>
        <v>572.286</v>
      </c>
    </row>
    <row r="23" customFormat="false" ht="15" hidden="false" customHeight="false" outlineLevel="0" collapsed="false">
      <c r="A23" s="64" t="s">
        <v>126</v>
      </c>
      <c r="B23" s="31" t="n">
        <f aca="false">PNL_Positive_CLIENTS_Y1</f>
        <v>300</v>
      </c>
      <c r="C23" s="31" t="n">
        <f aca="false">PNL_Positive_CLIENTS_Y2</f>
        <v>435</v>
      </c>
      <c r="D23" s="31" t="n">
        <f aca="false">PNL_Positive_CLIENTS_Y3</f>
        <v>565.5</v>
      </c>
      <c r="E23" s="31" t="n">
        <f aca="false">PNL_Positive_CLIENTS_Y4</f>
        <v>678.6</v>
      </c>
      <c r="F23" s="31" t="n">
        <f aca="false">PNL_Positive_CLIENTS_Y5</f>
        <v>780.39</v>
      </c>
    </row>
    <row r="25" customFormat="false" ht="15" hidden="false" customHeight="false" outlineLevel="0" collapsed="false">
      <c r="A25" s="18" t="s">
        <v>183</v>
      </c>
    </row>
    <row r="26" customFormat="false" ht="15" hidden="false" customHeight="false" outlineLevel="0" collapsed="false">
      <c r="A26" s="18" t="s">
        <v>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2026-07-29T22:18:51Z</dcterms:created>
  <dc:creator>openpyxl</dc:creator>
  <dc:description/>
  <dc:language>en-US</dc:language>
  <cp:lastModifiedBy/>
  <dcterms:modified xsi:type="dcterms:W3CDTF">2026-07-29T22:18:51Z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