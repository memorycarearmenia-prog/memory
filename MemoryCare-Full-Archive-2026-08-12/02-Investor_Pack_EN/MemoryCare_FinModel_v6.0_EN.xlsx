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nthly 5Y" sheetId="2" state="visible" r:id="rId4"/>
    <sheet name="Year Summary" sheetId="3" state="visible" r:id="rId5"/>
    <sheet name="Unit Economics" sheetId="4" state="visible" r:id="rId6"/>
    <sheet name="Fundin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<sst xmlns="http://schemas.openxmlformats.org/spreadsheetml/2006/main" count="144" uniqueCount="140">
  <si>
    <t xml:space="preserve">MemoryCare — Financial Model v6.0 · 5 years, monthly · incorporates owner &amp; advisory council decisions (Aug 6–7, 2026)</t>
  </si>
  <si>
    <t xml:space="preserve">Blue = inputs; black = formulas; yellow = switches. All salaries entered NET; gross-up applied via coefficient.</t>
  </si>
  <si>
    <t xml:space="preserve">GENERAL</t>
  </si>
  <si>
    <t xml:space="preserve">FX rate, AMD/USD</t>
  </si>
  <si>
    <t xml:space="preserve">Working days/month</t>
  </si>
  <si>
    <t xml:space="preserve">Turnover tax (regime 1)</t>
  </si>
  <si>
    <t xml:space="preserve">⚠ Legal memorandum — due Aug 13</t>
  </si>
  <si>
    <t xml:space="preserve">VAT threshold, AMD/yr</t>
  </si>
  <si>
    <t xml:space="preserve">VAT (regime 2)</t>
  </si>
  <si>
    <t xml:space="preserve">Above the threshold: price includes 20% VAT + 18% profit tax</t>
  </si>
  <si>
    <t xml:space="preserve">Profit tax (regime 2)</t>
  </si>
  <si>
    <t xml:space="preserve">TARIFFS (Express 60,000 — decision Aug 6)</t>
  </si>
  <si>
    <t xml:space="preserve">Price AMD</t>
  </si>
  <si>
    <t xml:space="preserve">Deep</t>
  </si>
  <si>
    <t xml:space="preserve">Light</t>
  </si>
  <si>
    <t xml:space="preserve">Mix</t>
  </si>
  <si>
    <t xml:space="preserve">Express</t>
  </si>
  <si>
    <t xml:space="preserve">DECISION Aug 6: Express credit toward subscription — 60 days; repeat Express without conversion in the same year = AMD 40,000</t>
  </si>
  <si>
    <t xml:space="preserve">Optimal</t>
  </si>
  <si>
    <t xml:space="preserve">Maximum</t>
  </si>
  <si>
    <t xml:space="preserve">DECISION Aug 7: Maximum = 3 deep + 6 light (9 visits/yr, was 4+8) — cost optimization, margin ~50%</t>
  </si>
  <si>
    <t xml:space="preserve">Blended price, AMD</t>
  </si>
  <si>
    <t xml:space="preserve">Avg deep visits/client/yr</t>
  </si>
  <si>
    <t xml:space="preserve">Avg light visits/client/yr</t>
  </si>
  <si>
    <t xml:space="preserve">CREWS (NET salaries; decision: 3-person deep crew)</t>
  </si>
  <si>
    <t xml:space="preserve">Deep crew: driver-tech + 2 techs, NET AMD/mo</t>
  </si>
  <si>
    <t xml:space="preserve">400,000 + 300,000 + 300,000 take-home</t>
  </si>
  <si>
    <t xml:space="preserve">Gross-up coefficient (payroll taxes)</t>
  </si>
  <si>
    <t xml:space="preserve">⚠ Exact rate to be confirmed by accountant</t>
  </si>
  <si>
    <t xml:space="preserve">Deep crew GROSS, AMD/mo</t>
  </si>
  <si>
    <t xml:space="preserve">Pilot crew, months 1–2 (Hayk + 2 techs), NET</t>
  </si>
  <si>
    <t xml:space="preserve">Decision Aug 6: pilot = Hayk + 2 techs; Hayk unsalaried</t>
  </si>
  <si>
    <t xml:space="preserve">Pilot crew GROSS</t>
  </si>
  <si>
    <t xml:space="preserve">Light crew NET, AMD/mo</t>
  </si>
  <si>
    <t xml:space="preserve">Light crew GROSS</t>
  </si>
  <si>
    <t xml:space="preserve">Consumables buffer, deep (+40%)</t>
  </si>
  <si>
    <t xml:space="preserve">Consumables buffer, light (+40%)</t>
  </si>
  <si>
    <t xml:space="preserve">Vehicle: lease+fuel per deep crew, AMD/mo</t>
  </si>
  <si>
    <t xml:space="preserve">⚠ Assumption; lease agreement — legal task</t>
  </si>
  <si>
    <t xml:space="preserve">PRODUCTIVITY (sites/day)</t>
  </si>
  <si>
    <t xml:space="preserve">Deep, months 1–5 / from month 6</t>
  </si>
  <si>
    <t xml:space="preserve">Light, months 1–5 / from month 6</t>
  </si>
  <si>
    <t xml:space="preserve">New-crew hiring trigger: utilization</t>
  </si>
  <si>
    <t xml:space="preserve">Decision Aug 6: hiring only at ≥85% actual utilization</t>
  </si>
  <si>
    <t xml:space="preserve">OVERHEAD, AMD/mo (excl. marketing)</t>
  </si>
  <si>
    <t xml:space="preserve">Legal retainer</t>
  </si>
  <si>
    <t xml:space="preserve">Admin/CRM</t>
  </si>
  <si>
    <t xml:space="preserve">Accountant</t>
  </si>
  <si>
    <t xml:space="preserve">hiring by Aug 20</t>
  </si>
  <si>
    <t xml:space="preserve">Claude Max</t>
  </si>
  <si>
    <t xml:space="preserve">on owner's card → migrate to company</t>
  </si>
  <si>
    <t xml:space="preserve">Liability insurance (est.)</t>
  </si>
  <si>
    <t xml:space="preserve">⚠ estimate; policy before pilot — legal task</t>
  </si>
  <si>
    <t xml:space="preserve">Total overhead (excl. marketing)</t>
  </si>
  <si>
    <t xml:space="preserve">MARKETING — CAC ladder (decision Aug 6)</t>
  </si>
  <si>
    <t xml:space="preserve">Months 1–4 (pilot/organic), AMD/mo</t>
  </si>
  <si>
    <t xml:space="preserve">Months 5–12, AMD/mo (USD 1,500)</t>
  </si>
  <si>
    <t xml:space="preserve">Year 2, AMD/mo (USD 4,000)</t>
  </si>
  <si>
    <t xml:space="preserve">Years 3–5: % of monthly revenue</t>
  </si>
  <si>
    <t xml:space="preserve">Each step unlocks only at blended CAC ≤ AMD 25,000</t>
  </si>
  <si>
    <t xml:space="preserve">ONE-TIME LAUNCH COSTS, AMD (one-off payments)</t>
  </si>
  <si>
    <t xml:space="preserve">Designer (full scope, month 1)</t>
  </si>
  <si>
    <t xml:space="preserve">Developers (platform, 50/50 months 1–2)</t>
  </si>
  <si>
    <t xml:space="preserve">Content/SMM/integrations (evenly, months 1–3)</t>
  </si>
  <si>
    <t xml:space="preserve">Total one-time</t>
  </si>
  <si>
    <t xml:space="preserve">CLIENTS &amp; GROWTH</t>
  </si>
  <si>
    <t xml:space="preserve">Year-1 scenario (1=160, 2=220, 3=300)</t>
  </si>
  <si>
    <t xml:space="preserve">Year-1 sales target (per scenario)</t>
  </si>
  <si>
    <t xml:space="preserve">Titles: David — CEO (100% owner), Hayk — CBDO. KPIs: base 30–50 subscriptions/16 weeks (model &amp; kill criterion); team stretch goal 90+/40%.</t>
  </si>
  <si>
    <t xml:space="preserve">Sales ramp months 1/2/3 (share of run-rate)</t>
  </si>
  <si>
    <t xml:space="preserve">Renewal (retention) at anniversary</t>
  </si>
  <si>
    <t xml:space="preserve">Growth Y2/Y3/Y4/Y5 (council base curve)</t>
  </si>
  <si>
    <t xml:space="preserve">Decision Aug 6: base curve only; SAM base 12–18K families</t>
  </si>
  <si>
    <t xml:space="preserve">Refund reserve, % of revenue</t>
  </si>
  <si>
    <t xml:space="preserve">SAM (council consensus, Aug 6)</t>
  </si>
  <si>
    <t xml:space="preserve">Low / Base / High, families</t>
  </si>
  <si>
    <t xml:space="preserve">Target ACTIVE clients at year end (base curve)</t>
  </si>
  <si>
    <t xml:space="preserve">Y2–Y5: base × (1+growth). Year sales = target − renewals (85% of prior-year payments)</t>
  </si>
  <si>
    <t xml:space="preserve">TARIFF "Znnum" (Inspection) — outside the subscription mix</t>
  </si>
  <si>
    <t xml:space="preserve">Price, AMD (one-off, light crew)</t>
  </si>
  <si>
    <t xml:space="preserve">DECISION Aug 7: visit + photo/video condition report + works list; credited toward any package within 30 days; psychological entry bridge + GPS reconnaissance for crews. Revenue conservatively NOT modeled (sales share not set).</t>
  </si>
  <si>
    <t xml:space="preserve">Monthly model, 60 months (cash basis; taxes on Year Summary sheet)</t>
  </si>
  <si>
    <t xml:space="preserve">Month</t>
  </si>
  <si>
    <t xml:space="preserve">New sales (clients)</t>
  </si>
  <si>
    <t xml:space="preserve">Renewals (clients)</t>
  </si>
  <si>
    <t xml:space="preserve">Payments in month (annual)</t>
  </si>
  <si>
    <t xml:space="preserve">Active clients</t>
  </si>
  <si>
    <t xml:space="preserve">CASH</t>
  </si>
  <si>
    <t xml:space="preserve">Billings (prepayments), AMD</t>
  </si>
  <si>
    <t xml:space="preserve">Refund reserve, AMD</t>
  </si>
  <si>
    <t xml:space="preserve">VISITS &amp; CREWS</t>
  </si>
  <si>
    <t xml:space="preserve">Demand: deep visits</t>
  </si>
  <si>
    <t xml:space="preserve">Demand: light visits</t>
  </si>
  <si>
    <t xml:space="preserve">Deep crews (by demand, min 1)</t>
  </si>
  <si>
    <t xml:space="preserve">Light crews (by demand)</t>
  </si>
  <si>
    <t xml:space="preserve">COSTS, AMD</t>
  </si>
  <si>
    <t xml:space="preserve">Deep crews: gross payroll+buffer+vehicle</t>
  </si>
  <si>
    <t xml:space="preserve">Light crews: gross payroll+buffer</t>
  </si>
  <si>
    <t xml:space="preserve">Marketing (CAC ladder)</t>
  </si>
  <si>
    <t xml:space="preserve">Overhead (excl. marketing)</t>
  </si>
  <si>
    <t xml:space="preserve">One-time launch costs</t>
  </si>
  <si>
    <t xml:space="preserve">Total pre-tax costs</t>
  </si>
  <si>
    <t xml:space="preserve">Pre-tax cash flow</t>
  </si>
  <si>
    <t xml:space="preserve">Note: taxes computed on the Year Summary sheet per the year's regime (10% turnover, or VAT+profit). Prepayment recognition (cash vs deferred) — accountant to confirm.</t>
  </si>
  <si>
    <t xml:space="preserve">Annual summary &amp; tax regimes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</si>
  <si>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</si>
  <si>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</si>
  <si>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</si>
  <si>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</si>
  <si>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</si>
  <si>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New sales</t>
  </si>
  <si>
    <t xml:space="preserve">Total payments (annual)</t>
  </si>
  <si>
    <t xml:space="preserve">Active clients at year end</t>
  </si>
  <si>
    <t xml:space="preserve">Billings (pre-tax revenue), AMD</t>
  </si>
  <si>
    <t xml:space="preserve">⚠ VAT threshold exceeded?</t>
  </si>
  <si>
    <t xml:space="preserve">Tax regime for the year</t>
  </si>
  <si>
    <t xml:space="preserve">Costs (incl. refund reserve), AMD</t>
  </si>
  <si>
    <t xml:space="preserve">Taxes for the year, AMD</t>
  </si>
  <si>
    <t xml:space="preserve">VAT regime: VAT out of price + 18% on profit (simplified, no input VAT) — accountant to refine</t>
  </si>
  <si>
    <t xml:space="preserve">EBITDA (post-tax), AMD</t>
  </si>
  <si>
    <t xml:space="preserve">EBITDA, $</t>
  </si>
  <si>
    <t xml:space="preserve">SAM check: Year-5 active clients vs SAM base</t>
  </si>
  <si>
    <t xml:space="preserve">penetration of SAM base</t>
  </si>
  <si>
    <t xml:space="preserve">Unit economics (conservative: months 1–5 productivity, full crew)</t>
  </si>
  <si>
    <t xml:space="preserve">Deep-visit unit cost, AMD</t>
  </si>
  <si>
    <t xml:space="preserve">Light-visit unit cost, AMD</t>
  </si>
  <si>
    <t xml:space="preserve">Tax 10% (regime 1)</t>
  </si>
  <si>
    <t xml:space="preserve">Visit costs</t>
  </si>
  <si>
    <t xml:space="preserve">Gross profit, AMD</t>
  </si>
  <si>
    <t xml:space="preserve">Margin, % of price</t>
  </si>
  <si>
    <t xml:space="preserve">Price per visit, USD</t>
  </si>
  <si>
    <t xml:space="preserve">At month-6+ productivity (3.5/8.0) unit costs are ~25–30% lower — this sheet is conservative.</t>
  </si>
  <si>
    <t xml:space="preserve">Funding requirement (owner tranches as needed)</t>
  </si>
  <si>
    <t xml:space="preserve">Cumulative pre-tax cash flow, 60-month minimum, AMD</t>
  </si>
  <si>
    <t xml:space="preserve">(service row: cumulative flow)</t>
  </si>
  <si>
    <t xml:space="preserve">Peak requirement (incl. ~10% Year-1 tax)</t>
  </si>
  <si>
    <t xml:space="preserve">Contingency reserve (28%)</t>
  </si>
  <si>
    <t xml:space="preserve">Incident reserve (decision Aug 6)</t>
  </si>
  <si>
    <t xml:space="preserve">TOTAL requirement, AMD / USD</t>
  </si>
  <si>
    <t xml:space="preserve">Kill criterion (adopted): &lt;40 paying clients by month 4 post-launch → stop and rebuild the model, not additional funding.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</si>
</sst>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"/>
    <numFmt numFmtId="170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B7075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07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6" min="2" style="1" width="13"/>
    <col collapsed="false" customWidth="true" hidden="false" outlineLevel="0" max="7" min="7" style="1" width="64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v>365</v>
      </c>
    </row>
    <row r="6" customFormat="false" ht="15" hidden="false" customHeight="true" outlineLevel="0" collapsed="false">
      <c r="A6" s="5" t="s">
        <v>4</v>
      </c>
      <c r="B6" s="7" t="n">
        <v>26</v>
      </c>
    </row>
    <row r="7" customFormat="false" ht="15" hidden="false" customHeight="true" outlineLevel="0" collapsed="false">
      <c r="A7" s="5" t="s">
        <v>5</v>
      </c>
      <c r="B7" s="8" t="n">
        <v>0.1</v>
      </c>
      <c r="G7" s="3" t="s">
        <v>6</v>
      </c>
    </row>
    <row r="8" customFormat="false" ht="15" hidden="false" customHeight="true" outlineLevel="0" collapsed="false">
      <c r="A8" s="5" t="s">
        <v>7</v>
      </c>
      <c r="B8" s="6" t="n">
        <v>115000000</v>
      </c>
    </row>
    <row r="9" customFormat="false" ht="15" hidden="false" customHeight="true" outlineLevel="0" collapsed="false">
      <c r="A9" s="5" t="s">
        <v>8</v>
      </c>
      <c r="B9" s="8" t="n">
        <v>0.2</v>
      </c>
      <c r="G9" s="3" t="s">
        <v>9</v>
      </c>
    </row>
    <row r="10" customFormat="false" ht="15" hidden="false" customHeight="true" outlineLevel="0" collapsed="false">
      <c r="A10" s="5" t="s">
        <v>10</v>
      </c>
      <c r="B10" s="8" t="n">
        <v>0.18</v>
      </c>
    </row>
    <row r="12" customFormat="false" ht="15" hidden="false" customHeight="true" outlineLevel="0" collapsed="false">
      <c r="A12" s="4" t="s">
        <v>11</v>
      </c>
      <c r="B12" s="9" t="s">
        <v>12</v>
      </c>
      <c r="C12" s="9" t="s">
        <v>13</v>
      </c>
      <c r="D12" s="9" t="s">
        <v>14</v>
      </c>
      <c r="E12" s="9" t="s">
        <v>15</v>
      </c>
    </row>
    <row r="13" customFormat="false" ht="15" hidden="false" customHeight="true" outlineLevel="0" collapsed="false">
      <c r="A13" s="5" t="s">
        <v>16</v>
      </c>
      <c r="B13" s="6" t="n">
        <v>60000</v>
      </c>
      <c r="C13" s="7" t="n">
        <v>1</v>
      </c>
      <c r="D13" s="7" t="n">
        <v>0</v>
      </c>
      <c r="E13" s="8" t="n">
        <v>0.15</v>
      </c>
      <c r="G13" s="3" t="s">
        <v>17</v>
      </c>
    </row>
    <row r="14" customFormat="false" ht="15" hidden="false" customHeight="true" outlineLevel="0" collapsed="false">
      <c r="A14" s="5" t="s">
        <v>18</v>
      </c>
      <c r="B14" s="6" t="n">
        <v>180000</v>
      </c>
      <c r="C14" s="7" t="n">
        <v>2</v>
      </c>
      <c r="D14" s="7" t="n">
        <v>4</v>
      </c>
      <c r="E14" s="8" t="n">
        <v>0.55</v>
      </c>
    </row>
    <row r="15" customFormat="false" ht="15" hidden="false" customHeight="true" outlineLevel="0" collapsed="false">
      <c r="A15" s="5" t="s">
        <v>19</v>
      </c>
      <c r="B15" s="6" t="n">
        <v>240000</v>
      </c>
      <c r="C15" s="7" t="n">
        <v>3</v>
      </c>
      <c r="D15" s="7" t="n">
        <v>6</v>
      </c>
      <c r="E15" s="8" t="n">
        <v>0.3</v>
      </c>
      <c r="G15" s="3" t="s">
        <v>20</v>
      </c>
    </row>
    <row r="16" customFormat="false" ht="15" hidden="false" customHeight="true" outlineLevel="0" collapsed="false">
      <c r="A16" s="5" t="s">
        <v>21</v>
      </c>
      <c r="B16" s="10" t="n">
        <f aca="false">SUMPRODUCT(B13:B15,E13:E15)</f>
        <v>180000</v>
      </c>
    </row>
    <row r="17" customFormat="false" ht="15" hidden="false" customHeight="true" outlineLevel="0" collapsed="false">
      <c r="A17" s="5" t="s">
        <v>22</v>
      </c>
      <c r="B17" s="5" t="n">
        <f aca="false">SUMPRODUCT(C13:C15,E13:E15)</f>
        <v>2.15</v>
      </c>
    </row>
    <row r="18" customFormat="false" ht="15" hidden="false" customHeight="true" outlineLevel="0" collapsed="false">
      <c r="A18" s="5" t="s">
        <v>23</v>
      </c>
      <c r="B18" s="5" t="n">
        <f aca="false">SUMPRODUCT(D13:D15,E13:E15)</f>
        <v>4</v>
      </c>
    </row>
    <row r="20" customFormat="false" ht="15" hidden="false" customHeight="true" outlineLevel="0" collapsed="false">
      <c r="A20" s="4" t="s">
        <v>24</v>
      </c>
    </row>
    <row r="21" customFormat="false" ht="15" hidden="false" customHeight="true" outlineLevel="0" collapsed="false">
      <c r="A21" s="5" t="s">
        <v>25</v>
      </c>
      <c r="B21" s="6" t="n">
        <v>1000000</v>
      </c>
      <c r="G21" s="3" t="s">
        <v>26</v>
      </c>
    </row>
    <row r="22" customFormat="false" ht="15" hidden="false" customHeight="true" outlineLevel="0" collapsed="false">
      <c r="A22" s="5" t="s">
        <v>27</v>
      </c>
      <c r="B22" s="11" t="n">
        <v>1.35</v>
      </c>
      <c r="G22" s="3" t="s">
        <v>28</v>
      </c>
    </row>
    <row r="23" customFormat="false" ht="15" hidden="false" customHeight="true" outlineLevel="0" collapsed="false">
      <c r="A23" s="5" t="s">
        <v>29</v>
      </c>
      <c r="B23" s="12" t="n">
        <f aca="false">B21*B22</f>
        <v>1350000</v>
      </c>
    </row>
    <row r="24" customFormat="false" ht="15" hidden="false" customHeight="true" outlineLevel="0" collapsed="false">
      <c r="A24" s="5" t="s">
        <v>30</v>
      </c>
      <c r="B24" s="6" t="n">
        <v>600000</v>
      </c>
      <c r="G24" s="3" t="s">
        <v>31</v>
      </c>
    </row>
    <row r="25" customFormat="false" ht="15" hidden="false" customHeight="true" outlineLevel="0" collapsed="false">
      <c r="A25" s="5" t="s">
        <v>32</v>
      </c>
      <c r="B25" s="10" t="n">
        <f aca="false">B24*B22</f>
        <v>810000</v>
      </c>
    </row>
    <row r="26" customFormat="false" ht="15" hidden="false" customHeight="true" outlineLevel="0" collapsed="false">
      <c r="A26" s="5" t="s">
        <v>33</v>
      </c>
      <c r="B26" s="6" t="n">
        <v>450000</v>
      </c>
    </row>
    <row r="27" customFormat="false" ht="15" hidden="false" customHeight="true" outlineLevel="0" collapsed="false">
      <c r="A27" s="5" t="s">
        <v>34</v>
      </c>
      <c r="B27" s="10" t="n">
        <f aca="false">B26*B22</f>
        <v>607500</v>
      </c>
    </row>
    <row r="28" customFormat="false" ht="15" hidden="false" customHeight="true" outlineLevel="0" collapsed="false">
      <c r="A28" s="5" t="s">
        <v>35</v>
      </c>
      <c r="B28" s="6" t="n">
        <v>102200</v>
      </c>
    </row>
    <row r="29" customFormat="false" ht="15" hidden="false" customHeight="true" outlineLevel="0" collapsed="false">
      <c r="A29" s="5" t="s">
        <v>36</v>
      </c>
      <c r="B29" s="6" t="n">
        <v>30660</v>
      </c>
    </row>
    <row r="30" customFormat="false" ht="15" hidden="false" customHeight="true" outlineLevel="0" collapsed="false">
      <c r="A30" s="5" t="s">
        <v>37</v>
      </c>
      <c r="B30" s="6" t="n">
        <v>112500</v>
      </c>
      <c r="G30" s="3" t="s">
        <v>38</v>
      </c>
    </row>
    <row r="32" customFormat="false" ht="15" hidden="false" customHeight="true" outlineLevel="0" collapsed="false">
      <c r="A32" s="4" t="s">
        <v>39</v>
      </c>
    </row>
    <row r="33" customFormat="false" ht="15" hidden="false" customHeight="true" outlineLevel="0" collapsed="false">
      <c r="A33" s="5" t="s">
        <v>40</v>
      </c>
      <c r="B33" s="7" t="n">
        <v>2.5</v>
      </c>
      <c r="C33" s="7" t="n">
        <v>3.5</v>
      </c>
    </row>
    <row r="34" customFormat="false" ht="15" hidden="false" customHeight="true" outlineLevel="0" collapsed="false">
      <c r="A34" s="5" t="s">
        <v>41</v>
      </c>
      <c r="B34" s="7" t="n">
        <v>6</v>
      </c>
      <c r="C34" s="7" t="n">
        <v>8</v>
      </c>
    </row>
    <row r="35" customFormat="false" ht="15" hidden="false" customHeight="true" outlineLevel="0" collapsed="false">
      <c r="A35" s="5" t="s">
        <v>42</v>
      </c>
      <c r="B35" s="8" t="n">
        <v>0.85</v>
      </c>
      <c r="G35" s="3" t="s">
        <v>43</v>
      </c>
    </row>
    <row r="37" customFormat="false" ht="15" hidden="false" customHeight="true" outlineLevel="0" collapsed="false">
      <c r="A37" s="4" t="s">
        <v>44</v>
      </c>
    </row>
    <row r="38" customFormat="false" ht="15" hidden="false" customHeight="true" outlineLevel="0" collapsed="false">
      <c r="A38" s="5" t="s">
        <v>45</v>
      </c>
      <c r="B38" s="6" t="n">
        <v>200000</v>
      </c>
    </row>
    <row r="39" customFormat="false" ht="15" hidden="false" customHeight="true" outlineLevel="0" collapsed="false">
      <c r="A39" s="5" t="s">
        <v>46</v>
      </c>
      <c r="B39" s="6" t="n">
        <v>54750</v>
      </c>
    </row>
    <row r="40" customFormat="false" ht="15" hidden="false" customHeight="true" outlineLevel="0" collapsed="false">
      <c r="A40" s="5" t="s">
        <v>47</v>
      </c>
      <c r="B40" s="6" t="n">
        <v>55000</v>
      </c>
      <c r="G40" s="3" t="s">
        <v>48</v>
      </c>
    </row>
    <row r="41" customFormat="false" ht="15" hidden="false" customHeight="true" outlineLevel="0" collapsed="false">
      <c r="A41" s="5" t="s">
        <v>49</v>
      </c>
      <c r="B41" s="10" t="n">
        <f aca="false">120*B5</f>
        <v>43800</v>
      </c>
      <c r="G41" s="3" t="s">
        <v>50</v>
      </c>
    </row>
    <row r="42" customFormat="false" ht="15" hidden="false" customHeight="true" outlineLevel="0" collapsed="false">
      <c r="A42" s="5" t="s">
        <v>51</v>
      </c>
      <c r="B42" s="6" t="n">
        <v>25000</v>
      </c>
      <c r="G42" s="3" t="s">
        <v>52</v>
      </c>
    </row>
    <row r="43" customFormat="false" ht="15" hidden="false" customHeight="true" outlineLevel="0" collapsed="false">
      <c r="A43" s="5" t="s">
        <v>53</v>
      </c>
      <c r="B43" s="12" t="n">
        <f aca="false">SUM(B38:B42)</f>
        <v>378550</v>
      </c>
    </row>
    <row r="45" customFormat="false" ht="15" hidden="false" customHeight="true" outlineLevel="0" collapsed="false">
      <c r="A45" s="4" t="s">
        <v>54</v>
      </c>
    </row>
    <row r="46" customFormat="false" ht="15" hidden="false" customHeight="true" outlineLevel="0" collapsed="false">
      <c r="A46" s="5" t="s">
        <v>55</v>
      </c>
      <c r="B46" s="6" t="n">
        <v>146000</v>
      </c>
    </row>
    <row r="47" customFormat="false" ht="15" hidden="false" customHeight="true" outlineLevel="0" collapsed="false">
      <c r="A47" s="5" t="s">
        <v>56</v>
      </c>
      <c r="B47" s="10" t="n">
        <f aca="false">1500*B5</f>
        <v>547500</v>
      </c>
    </row>
    <row r="48" customFormat="false" ht="15" hidden="false" customHeight="true" outlineLevel="0" collapsed="false">
      <c r="A48" s="5" t="s">
        <v>57</v>
      </c>
      <c r="B48" s="10" t="n">
        <f aca="false">4000*B5</f>
        <v>1460000</v>
      </c>
    </row>
    <row r="49" customFormat="false" ht="15" hidden="false" customHeight="true" outlineLevel="0" collapsed="false">
      <c r="A49" s="5" t="s">
        <v>58</v>
      </c>
      <c r="B49" s="8" t="n">
        <v>0.1</v>
      </c>
      <c r="G49" s="3" t="s">
        <v>59</v>
      </c>
    </row>
    <row r="51" customFormat="false" ht="15" hidden="false" customHeight="true" outlineLevel="0" collapsed="false">
      <c r="A51" s="4" t="s">
        <v>60</v>
      </c>
    </row>
    <row r="52" customFormat="false" ht="15" hidden="false" customHeight="true" outlineLevel="0" collapsed="false">
      <c r="A52" s="5" t="s">
        <v>61</v>
      </c>
      <c r="B52" s="6" t="n">
        <v>1000000</v>
      </c>
    </row>
    <row r="53" customFormat="false" ht="15" hidden="false" customHeight="true" outlineLevel="0" collapsed="false">
      <c r="A53" s="5" t="s">
        <v>62</v>
      </c>
      <c r="B53" s="6" t="n">
        <v>1200000</v>
      </c>
    </row>
    <row r="54" customFormat="false" ht="15" hidden="false" customHeight="true" outlineLevel="0" collapsed="false">
      <c r="A54" s="5" t="s">
        <v>63</v>
      </c>
      <c r="B54" s="6" t="n">
        <v>500000</v>
      </c>
    </row>
    <row r="55" customFormat="false" ht="15" hidden="false" customHeight="true" outlineLevel="0" collapsed="false">
      <c r="A55" s="5" t="s">
        <v>64</v>
      </c>
      <c r="B55" s="12" t="n">
        <f aca="false">SUM(B52:B54)</f>
        <v>2700000</v>
      </c>
    </row>
    <row r="57" customFormat="false" ht="15" hidden="false" customHeight="true" outlineLevel="0" collapsed="false">
      <c r="A57" s="4" t="s">
        <v>65</v>
      </c>
    </row>
    <row r="58" customFormat="false" ht="15" hidden="false" customHeight="true" outlineLevel="0" collapsed="false">
      <c r="A58" s="5" t="s">
        <v>66</v>
      </c>
      <c r="B58" s="13" t="n">
        <v>2</v>
      </c>
      <c r="C58" s="7" t="n">
        <v>160</v>
      </c>
      <c r="D58" s="7" t="n">
        <v>220</v>
      </c>
      <c r="E58" s="7" t="n">
        <v>300</v>
      </c>
    </row>
    <row r="59" customFormat="false" ht="15" hidden="false" customHeight="true" outlineLevel="0" collapsed="false">
      <c r="A59" s="5" t="s">
        <v>67</v>
      </c>
      <c r="B59" s="9" t="n">
        <f aca="false">CHOOSE(B58,C58,D58,E58)</f>
        <v>220</v>
      </c>
      <c r="G59" s="3" t="s">
        <v>68</v>
      </c>
    </row>
    <row r="60" customFormat="false" ht="15" hidden="false" customHeight="true" outlineLevel="0" collapsed="false">
      <c r="A60" s="5" t="s">
        <v>69</v>
      </c>
      <c r="B60" s="8" t="n">
        <v>0.25</v>
      </c>
      <c r="C60" s="8" t="n">
        <v>0.5</v>
      </c>
      <c r="D60" s="8" t="n">
        <v>0.75</v>
      </c>
    </row>
    <row r="61" customFormat="false" ht="15" hidden="false" customHeight="true" outlineLevel="0" collapsed="false">
      <c r="A61" s="5" t="s">
        <v>70</v>
      </c>
      <c r="B61" s="8" t="n">
        <v>0.85</v>
      </c>
    </row>
    <row r="62" customFormat="false" ht="15" hidden="false" customHeight="true" outlineLevel="0" collapsed="false">
      <c r="A62" s="5" t="s">
        <v>71</v>
      </c>
      <c r="C62" s="8" t="n">
        <v>1.2</v>
      </c>
      <c r="D62" s="8" t="n">
        <v>0.9</v>
      </c>
      <c r="E62" s="8" t="n">
        <v>0.65</v>
      </c>
      <c r="F62" s="8" t="n">
        <v>0.5</v>
      </c>
      <c r="G62" s="3" t="s">
        <v>72</v>
      </c>
    </row>
    <row r="63" customFormat="false" ht="15" hidden="false" customHeight="true" outlineLevel="0" collapsed="false">
      <c r="A63" s="5" t="s">
        <v>73</v>
      </c>
      <c r="B63" s="8" t="n">
        <v>0.03</v>
      </c>
    </row>
    <row r="65" customFormat="false" ht="15" hidden="false" customHeight="true" outlineLevel="0" collapsed="false">
      <c r="A65" s="4" t="s">
        <v>74</v>
      </c>
    </row>
    <row r="66" customFormat="false" ht="15" hidden="false" customHeight="true" outlineLevel="0" collapsed="false">
      <c r="A66" s="5" t="s">
        <v>75</v>
      </c>
      <c r="B66" s="6" t="n">
        <v>7000</v>
      </c>
      <c r="C66" s="6" t="n">
        <v>15000</v>
      </c>
      <c r="D66" s="6" t="n">
        <v>30000</v>
      </c>
    </row>
    <row r="68" customFormat="false" ht="15" hidden="false" customHeight="true" outlineLevel="0" collapsed="false">
      <c r="A68" s="4" t="s">
        <v>76</v>
      </c>
      <c r="B68" s="14" t="n">
        <f aca="false">SUM('Monthly 5Y'!B7:M7)</f>
        <v>192.3</v>
      </c>
      <c r="C68" s="14" t="n">
        <f aca="false">ROUND(B68*(1+C62),0)</f>
        <v>423</v>
      </c>
      <c r="D68" s="14" t="n">
        <f aca="false">ROUND(C68*(1+D62),0)</f>
        <v>804</v>
      </c>
      <c r="E68" s="14" t="n">
        <f aca="false">ROUND(D68*(1+E62),0)</f>
        <v>1327</v>
      </c>
      <c r="F68" s="14" t="n">
        <f aca="false">ROUND(E68*(1+F62),0)</f>
        <v>1991</v>
      </c>
      <c r="G68" s="3" t="s">
        <v>77</v>
      </c>
    </row>
    <row r="70" customFormat="false" ht="15" hidden="false" customHeight="true" outlineLevel="0" collapsed="false">
      <c r="A70" s="4" t="s">
        <v>78</v>
      </c>
    </row>
    <row r="71" customFormat="false" ht="15" hidden="false" customHeight="true" outlineLevel="0" collapsed="false">
      <c r="A71" s="1" t="s">
        <v>79</v>
      </c>
      <c r="B71" s="6" t="n">
        <v>20000</v>
      </c>
      <c r="G71" s="3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62" min="2" style="1" width="11"/>
  </cols>
  <sheetData>
    <row r="1" customFormat="false" ht="15.75" hidden="false" customHeight="true" outlineLevel="0" collapsed="false">
      <c r="A1" s="2" t="s">
        <v>81</v>
      </c>
    </row>
    <row r="3" customFormat="false" ht="15" hidden="false" customHeight="true" outlineLevel="0" collapsed="false">
      <c r="A3" s="9" t="s">
        <v>82</v>
      </c>
      <c r="B3" s="9" t="n">
        <v>1</v>
      </c>
      <c r="C3" s="9" t="n">
        <v>2</v>
      </c>
      <c r="D3" s="9" t="n">
        <v>3</v>
      </c>
      <c r="E3" s="9" t="n">
        <v>4</v>
      </c>
      <c r="F3" s="9" t="n">
        <v>5</v>
      </c>
      <c r="G3" s="9" t="n">
        <v>6</v>
      </c>
      <c r="H3" s="9" t="n">
        <v>7</v>
      </c>
      <c r="I3" s="9" t="n">
        <v>8</v>
      </c>
      <c r="J3" s="9" t="n">
        <v>9</v>
      </c>
      <c r="K3" s="9" t="n">
        <v>10</v>
      </c>
      <c r="L3" s="9" t="n">
        <v>11</v>
      </c>
      <c r="M3" s="9" t="n">
        <v>12</v>
      </c>
      <c r="N3" s="9" t="n">
        <v>13</v>
      </c>
      <c r="O3" s="9" t="n">
        <v>14</v>
      </c>
      <c r="P3" s="9" t="n">
        <v>15</v>
      </c>
      <c r="Q3" s="9" t="n">
        <v>16</v>
      </c>
      <c r="R3" s="9" t="n">
        <v>17</v>
      </c>
      <c r="S3" s="9" t="n">
        <v>18</v>
      </c>
      <c r="T3" s="9" t="n">
        <v>19</v>
      </c>
      <c r="U3" s="9" t="n">
        <v>20</v>
      </c>
      <c r="V3" s="9" t="n">
        <v>21</v>
      </c>
      <c r="W3" s="9" t="n">
        <v>22</v>
      </c>
      <c r="X3" s="9" t="n">
        <v>23</v>
      </c>
      <c r="Y3" s="9" t="n">
        <v>24</v>
      </c>
      <c r="Z3" s="9" t="n">
        <v>25</v>
      </c>
      <c r="AA3" s="9" t="n">
        <v>26</v>
      </c>
      <c r="AB3" s="9" t="n">
        <v>27</v>
      </c>
      <c r="AC3" s="9" t="n">
        <v>28</v>
      </c>
      <c r="AD3" s="9" t="n">
        <v>29</v>
      </c>
      <c r="AE3" s="9" t="n">
        <v>30</v>
      </c>
      <c r="AF3" s="9" t="n">
        <v>31</v>
      </c>
      <c r="AG3" s="9" t="n">
        <v>32</v>
      </c>
      <c r="AH3" s="9" t="n">
        <v>33</v>
      </c>
      <c r="AI3" s="9" t="n">
        <v>34</v>
      </c>
      <c r="AJ3" s="9" t="n">
        <v>35</v>
      </c>
      <c r="AK3" s="9" t="n">
        <v>36</v>
      </c>
      <c r="AL3" s="9" t="n">
        <v>37</v>
      </c>
      <c r="AM3" s="9" t="n">
        <v>38</v>
      </c>
      <c r="AN3" s="9" t="n">
        <v>39</v>
      </c>
      <c r="AO3" s="9" t="n">
        <v>40</v>
      </c>
      <c r="AP3" s="9" t="n">
        <v>41</v>
      </c>
      <c r="AQ3" s="9" t="n">
        <v>42</v>
      </c>
      <c r="AR3" s="9" t="n">
        <v>43</v>
      </c>
      <c r="AS3" s="9" t="n">
        <v>44</v>
      </c>
      <c r="AT3" s="9" t="n">
        <v>45</v>
      </c>
      <c r="AU3" s="9" t="n">
        <v>46</v>
      </c>
      <c r="AV3" s="9" t="n">
        <v>47</v>
      </c>
      <c r="AW3" s="9" t="n">
        <v>48</v>
      </c>
      <c r="AX3" s="9" t="n">
        <v>49</v>
      </c>
      <c r="AY3" s="9" t="n">
        <v>50</v>
      </c>
      <c r="AZ3" s="9" t="n">
        <v>51</v>
      </c>
      <c r="BA3" s="9" t="n">
        <v>52</v>
      </c>
      <c r="BB3" s="9" t="n">
        <v>53</v>
      </c>
      <c r="BC3" s="9" t="n">
        <v>54</v>
      </c>
      <c r="BD3" s="9" t="n">
        <v>55</v>
      </c>
      <c r="BE3" s="9" t="n">
        <v>56</v>
      </c>
      <c r="BF3" s="9" t="n">
        <v>57</v>
      </c>
      <c r="BG3" s="9" t="n">
        <v>58</v>
      </c>
      <c r="BH3" s="9" t="n">
        <v>59</v>
      </c>
      <c r="BI3" s="9" t="n">
        <v>60</v>
      </c>
    </row>
    <row r="5" customFormat="false" ht="15" hidden="false" customHeight="true" outlineLevel="0" collapsed="false">
      <c r="A5" s="5" t="s">
        <v>83</v>
      </c>
      <c r="B5" s="15" t="n">
        <f aca="false">ROUND(Assumptions!$B$59/12*Assumptions!$B$60,1)</f>
        <v>4.6</v>
      </c>
      <c r="C5" s="15" t="n">
        <f aca="false">ROUND(Assumptions!$B$59/12*Assumptions!$C$60,1)</f>
        <v>9.2</v>
      </c>
      <c r="D5" s="15" t="n">
        <f aca="false">ROUND(Assumptions!$B$59/12*Assumptions!$D$60,1)</f>
        <v>13.8</v>
      </c>
      <c r="E5" s="15" t="n">
        <f aca="false">ROUND(Assumptions!$B$59/12,1)</f>
        <v>18.3</v>
      </c>
      <c r="F5" s="15" t="n">
        <f aca="false">ROUND(Assumptions!$B$59/12,1)</f>
        <v>18.3</v>
      </c>
      <c r="G5" s="15" t="n">
        <f aca="false">ROUND(Assumptions!$B$59/12,1)</f>
        <v>18.3</v>
      </c>
      <c r="H5" s="15" t="n">
        <f aca="false">ROUND(Assumptions!$B$59/12,1)</f>
        <v>18.3</v>
      </c>
      <c r="I5" s="15" t="n">
        <f aca="false">ROUND(Assumptions!$B$59/12,1)</f>
        <v>18.3</v>
      </c>
      <c r="J5" s="15" t="n">
        <f aca="false">ROUND(Assumptions!$B$59/12,1)</f>
        <v>18.3</v>
      </c>
      <c r="K5" s="15" t="n">
        <f aca="false">ROUND(Assumptions!$B$59/12,1)</f>
        <v>18.3</v>
      </c>
      <c r="L5" s="15" t="n">
        <f aca="false">ROUND(Assumptions!$B$59/12,1)</f>
        <v>18.3</v>
      </c>
      <c r="M5" s="15" t="n">
        <f aca="false">ROUND(Assumptions!$B$59/12,1)</f>
        <v>18.3</v>
      </c>
      <c r="N5" s="15" t="n">
        <f aca="false">ROUND(MAX(0,(Assumptions!$C$68-Assumptions!$B$61*Assumptions!$B$68))/12,1)</f>
        <v>21.6</v>
      </c>
      <c r="O5" s="15" t="n">
        <f aca="false">ROUND(MAX(0,(Assumptions!$C$68-Assumptions!$B$61*Assumptions!$B$68))/12,1)</f>
        <v>21.6</v>
      </c>
      <c r="P5" s="15" t="n">
        <f aca="false">ROUND(MAX(0,(Assumptions!$C$68-Assumptions!$B$61*Assumptions!$B$68))/12,1)</f>
        <v>21.6</v>
      </c>
      <c r="Q5" s="15" t="n">
        <f aca="false">ROUND(MAX(0,(Assumptions!$C$68-Assumptions!$B$61*Assumptions!$B$68))/12,1)</f>
        <v>21.6</v>
      </c>
      <c r="R5" s="15" t="n">
        <f aca="false">ROUND(MAX(0,(Assumptions!$C$68-Assumptions!$B$61*Assumptions!$B$68))/12,1)</f>
        <v>21.6</v>
      </c>
      <c r="S5" s="15" t="n">
        <f aca="false">ROUND(MAX(0,(Assumptions!$C$68-Assumptions!$B$61*Assumptions!$B$68))/12,1)</f>
        <v>21.6</v>
      </c>
      <c r="T5" s="15" t="n">
        <f aca="false">ROUND(MAX(0,(Assumptions!$C$68-Assumptions!$B$61*Assumptions!$B$68))/12,1)</f>
        <v>21.6</v>
      </c>
      <c r="U5" s="15" t="n">
        <f aca="false">ROUND(MAX(0,(Assumptions!$C$68-Assumptions!$B$61*Assumptions!$B$68))/12,1)</f>
        <v>21.6</v>
      </c>
      <c r="V5" s="15" t="n">
        <f aca="false">ROUND(MAX(0,(Assumptions!$C$68-Assumptions!$B$61*Assumptions!$B$68))/12,1)</f>
        <v>21.6</v>
      </c>
      <c r="W5" s="15" t="n">
        <f aca="false">ROUND(MAX(0,(Assumptions!$C$68-Assumptions!$B$61*Assumptions!$B$68))/12,1)</f>
        <v>21.6</v>
      </c>
      <c r="X5" s="15" t="n">
        <f aca="false">ROUND(MAX(0,(Assumptions!$C$68-Assumptions!$B$61*Assumptions!$B$68))/12,1)</f>
        <v>21.6</v>
      </c>
      <c r="Y5" s="15" t="n">
        <f aca="false">ROUND(MAX(0,(Assumptions!$C$68-Assumptions!$B$61*Assumptions!$B$68))/12,1)</f>
        <v>21.6</v>
      </c>
      <c r="Z5" s="15" t="n">
        <f aca="false">ROUND(MAX(0,(Assumptions!$D$68-Assumptions!$B$61*Assumptions!$C$68))/12,1)</f>
        <v>37</v>
      </c>
      <c r="AA5" s="15" t="n">
        <f aca="false">ROUND(MAX(0,(Assumptions!$D$68-Assumptions!$B$61*Assumptions!$C$68))/12,1)</f>
        <v>37</v>
      </c>
      <c r="AB5" s="15" t="n">
        <f aca="false">ROUND(MAX(0,(Assumptions!$D$68-Assumptions!$B$61*Assumptions!$C$68))/12,1)</f>
        <v>37</v>
      </c>
      <c r="AC5" s="15" t="n">
        <f aca="false">ROUND(MAX(0,(Assumptions!$D$68-Assumptions!$B$61*Assumptions!$C$68))/12,1)</f>
        <v>37</v>
      </c>
      <c r="AD5" s="15" t="n">
        <f aca="false">ROUND(MAX(0,(Assumptions!$D$68-Assumptions!$B$61*Assumptions!$C$68))/12,1)</f>
        <v>37</v>
      </c>
      <c r="AE5" s="15" t="n">
        <f aca="false">ROUND(MAX(0,(Assumptions!$D$68-Assumptions!$B$61*Assumptions!$C$68))/12,1)</f>
        <v>37</v>
      </c>
      <c r="AF5" s="15" t="n">
        <f aca="false">ROUND(MAX(0,(Assumptions!$D$68-Assumptions!$B$61*Assumptions!$C$68))/12,1)</f>
        <v>37</v>
      </c>
      <c r="AG5" s="15" t="n">
        <f aca="false">ROUND(MAX(0,(Assumptions!$D$68-Assumptions!$B$61*Assumptions!$C$68))/12,1)</f>
        <v>37</v>
      </c>
      <c r="AH5" s="15" t="n">
        <f aca="false">ROUND(MAX(0,(Assumptions!$D$68-Assumptions!$B$61*Assumptions!$C$68))/12,1)</f>
        <v>37</v>
      </c>
      <c r="AI5" s="15" t="n">
        <f aca="false">ROUND(MAX(0,(Assumptions!$D$68-Assumptions!$B$61*Assumptions!$C$68))/12,1)</f>
        <v>37</v>
      </c>
      <c r="AJ5" s="15" t="n">
        <f aca="false">ROUND(MAX(0,(Assumptions!$D$68-Assumptions!$B$61*Assumptions!$C$68))/12,1)</f>
        <v>37</v>
      </c>
      <c r="AK5" s="15" t="n">
        <f aca="false">ROUND(MAX(0,(Assumptions!$D$68-Assumptions!$B$61*Assumptions!$C$68))/12,1)</f>
        <v>37</v>
      </c>
      <c r="AL5" s="15" t="n">
        <f aca="false">ROUND(MAX(0,(Assumptions!$E$68-Assumptions!$B$61*Assumptions!$D$68))/12,1)</f>
        <v>53.6</v>
      </c>
      <c r="AM5" s="15" t="n">
        <f aca="false">ROUND(MAX(0,(Assumptions!$E$68-Assumptions!$B$61*Assumptions!$D$68))/12,1)</f>
        <v>53.6</v>
      </c>
      <c r="AN5" s="15" t="n">
        <f aca="false">ROUND(MAX(0,(Assumptions!$E$68-Assumptions!$B$61*Assumptions!$D$68))/12,1)</f>
        <v>53.6</v>
      </c>
      <c r="AO5" s="15" t="n">
        <f aca="false">ROUND(MAX(0,(Assumptions!$E$68-Assumptions!$B$61*Assumptions!$D$68))/12,1)</f>
        <v>53.6</v>
      </c>
      <c r="AP5" s="15" t="n">
        <f aca="false">ROUND(MAX(0,(Assumptions!$E$68-Assumptions!$B$61*Assumptions!$D$68))/12,1)</f>
        <v>53.6</v>
      </c>
      <c r="AQ5" s="15" t="n">
        <f aca="false">ROUND(MAX(0,(Assumptions!$E$68-Assumptions!$B$61*Assumptions!$D$68))/12,1)</f>
        <v>53.6</v>
      </c>
      <c r="AR5" s="15" t="n">
        <f aca="false">ROUND(MAX(0,(Assumptions!$E$68-Assumptions!$B$61*Assumptions!$D$68))/12,1)</f>
        <v>53.6</v>
      </c>
      <c r="AS5" s="15" t="n">
        <f aca="false">ROUND(MAX(0,(Assumptions!$E$68-Assumptions!$B$61*Assumptions!$D$68))/12,1)</f>
        <v>53.6</v>
      </c>
      <c r="AT5" s="15" t="n">
        <f aca="false">ROUND(MAX(0,(Assumptions!$E$68-Assumptions!$B$61*Assumptions!$D$68))/12,1)</f>
        <v>53.6</v>
      </c>
      <c r="AU5" s="15" t="n">
        <f aca="false">ROUND(MAX(0,(Assumptions!$E$68-Assumptions!$B$61*Assumptions!$D$68))/12,1)</f>
        <v>53.6</v>
      </c>
      <c r="AV5" s="15" t="n">
        <f aca="false">ROUND(MAX(0,(Assumptions!$E$68-Assumptions!$B$61*Assumptions!$D$68))/12,1)</f>
        <v>53.6</v>
      </c>
      <c r="AW5" s="15" t="n">
        <f aca="false">ROUND(MAX(0,(Assumptions!$E$68-Assumptions!$B$61*Assumptions!$D$68))/12,1)</f>
        <v>53.6</v>
      </c>
      <c r="AX5" s="15" t="n">
        <f aca="false">ROUND(MAX(0,(Assumptions!$F$68-Assumptions!$B$61*Assumptions!$E$68))/12,1)</f>
        <v>71.9</v>
      </c>
      <c r="AY5" s="15" t="n">
        <f aca="false">ROUND(MAX(0,(Assumptions!$F$68-Assumptions!$B$61*Assumptions!$E$68))/12,1)</f>
        <v>71.9</v>
      </c>
      <c r="AZ5" s="15" t="n">
        <f aca="false">ROUND(MAX(0,(Assumptions!$F$68-Assumptions!$B$61*Assumptions!$E$68))/12,1)</f>
        <v>71.9</v>
      </c>
      <c r="BA5" s="15" t="n">
        <f aca="false">ROUND(MAX(0,(Assumptions!$F$68-Assumptions!$B$61*Assumptions!$E$68))/12,1)</f>
        <v>71.9</v>
      </c>
      <c r="BB5" s="15" t="n">
        <f aca="false">ROUND(MAX(0,(Assumptions!$F$68-Assumptions!$B$61*Assumptions!$E$68))/12,1)</f>
        <v>71.9</v>
      </c>
      <c r="BC5" s="15" t="n">
        <f aca="false">ROUND(MAX(0,(Assumptions!$F$68-Assumptions!$B$61*Assumptions!$E$68))/12,1)</f>
        <v>71.9</v>
      </c>
      <c r="BD5" s="15" t="n">
        <f aca="false">ROUND(MAX(0,(Assumptions!$F$68-Assumptions!$B$61*Assumptions!$E$68))/12,1)</f>
        <v>71.9</v>
      </c>
      <c r="BE5" s="15" t="n">
        <f aca="false">ROUND(MAX(0,(Assumptions!$F$68-Assumptions!$B$61*Assumptions!$E$68))/12,1)</f>
        <v>71.9</v>
      </c>
      <c r="BF5" s="15" t="n">
        <f aca="false">ROUND(MAX(0,(Assumptions!$F$68-Assumptions!$B$61*Assumptions!$E$68))/12,1)</f>
        <v>71.9</v>
      </c>
      <c r="BG5" s="15" t="n">
        <f aca="false">ROUND(MAX(0,(Assumptions!$F$68-Assumptions!$B$61*Assumptions!$E$68))/12,1)</f>
        <v>71.9</v>
      </c>
      <c r="BH5" s="15" t="n">
        <f aca="false">ROUND(MAX(0,(Assumptions!$F$68-Assumptions!$B$61*Assumptions!$E$68))/12,1)</f>
        <v>71.9</v>
      </c>
      <c r="BI5" s="15" t="n">
        <f aca="false">ROUND(MAX(0,(Assumptions!$F$68-Assumptions!$B$61*Assumptions!$E$68))/12,1)</f>
        <v>71.9</v>
      </c>
    </row>
    <row r="6" customFormat="false" ht="15" hidden="false" customHeight="true" outlineLevel="0" collapsed="false">
      <c r="A6" s="5" t="s">
        <v>84</v>
      </c>
      <c r="B6" s="15" t="n">
        <v>0</v>
      </c>
      <c r="C6" s="15" t="n">
        <v>0</v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0</v>
      </c>
      <c r="N6" s="15" t="n">
        <f aca="false">B7*Assumptions!$B$61</f>
        <v>3.91</v>
      </c>
      <c r="O6" s="15" t="n">
        <f aca="false">C7*Assumptions!$B$61</f>
        <v>7.82</v>
      </c>
      <c r="P6" s="15" t="n">
        <f aca="false">D7*Assumptions!$B$61</f>
        <v>11.73</v>
      </c>
      <c r="Q6" s="15" t="n">
        <f aca="false">E7*Assumptions!$B$61</f>
        <v>15.555</v>
      </c>
      <c r="R6" s="15" t="n">
        <f aca="false">F7*Assumptions!$B$61</f>
        <v>15.555</v>
      </c>
      <c r="S6" s="15" t="n">
        <f aca="false">G7*Assumptions!$B$61</f>
        <v>15.555</v>
      </c>
      <c r="T6" s="15" t="n">
        <f aca="false">H7*Assumptions!$B$61</f>
        <v>15.555</v>
      </c>
      <c r="U6" s="15" t="n">
        <f aca="false">I7*Assumptions!$B$61</f>
        <v>15.555</v>
      </c>
      <c r="V6" s="15" t="n">
        <f aca="false">J7*Assumptions!$B$61</f>
        <v>15.555</v>
      </c>
      <c r="W6" s="15" t="n">
        <f aca="false">K7*Assumptions!$B$61</f>
        <v>15.555</v>
      </c>
      <c r="X6" s="15" t="n">
        <f aca="false">L7*Assumptions!$B$61</f>
        <v>15.555</v>
      </c>
      <c r="Y6" s="15" t="n">
        <f aca="false">M7*Assumptions!$B$61</f>
        <v>15.555</v>
      </c>
      <c r="Z6" s="15" t="n">
        <f aca="false">N7*Assumptions!$B$61</f>
        <v>21.6835</v>
      </c>
      <c r="AA6" s="15" t="n">
        <f aca="false">O7*Assumptions!$B$61</f>
        <v>25.007</v>
      </c>
      <c r="AB6" s="15" t="n">
        <f aca="false">P7*Assumptions!$B$61</f>
        <v>28.3305</v>
      </c>
      <c r="AC6" s="15" t="n">
        <f aca="false">Q7*Assumptions!$B$61</f>
        <v>31.58175</v>
      </c>
      <c r="AD6" s="15" t="n">
        <f aca="false">R7*Assumptions!$B$61</f>
        <v>31.58175</v>
      </c>
      <c r="AE6" s="15" t="n">
        <f aca="false">S7*Assumptions!$B$61</f>
        <v>31.58175</v>
      </c>
      <c r="AF6" s="15" t="n">
        <f aca="false">T7*Assumptions!$B$61</f>
        <v>31.58175</v>
      </c>
      <c r="AG6" s="15" t="n">
        <f aca="false">U7*Assumptions!$B$61</f>
        <v>31.58175</v>
      </c>
      <c r="AH6" s="15" t="n">
        <f aca="false">V7*Assumptions!$B$61</f>
        <v>31.58175</v>
      </c>
      <c r="AI6" s="15" t="n">
        <f aca="false">W7*Assumptions!$B$61</f>
        <v>31.58175</v>
      </c>
      <c r="AJ6" s="15" t="n">
        <f aca="false">X7*Assumptions!$B$61</f>
        <v>31.58175</v>
      </c>
      <c r="AK6" s="15" t="n">
        <f aca="false">Y7*Assumptions!$B$61</f>
        <v>31.58175</v>
      </c>
      <c r="AL6" s="15" t="n">
        <f aca="false">Z7*Assumptions!$B$61</f>
        <v>49.880975</v>
      </c>
      <c r="AM6" s="15" t="n">
        <f aca="false">AA7*Assumptions!$B$61</f>
        <v>52.70595</v>
      </c>
      <c r="AN6" s="15" t="n">
        <f aca="false">AB7*Assumptions!$B$61</f>
        <v>55.530925</v>
      </c>
      <c r="AO6" s="15" t="n">
        <f aca="false">AC7*Assumptions!$B$61</f>
        <v>58.2944875</v>
      </c>
      <c r="AP6" s="15" t="n">
        <f aca="false">AD7*Assumptions!$B$61</f>
        <v>58.2944875</v>
      </c>
      <c r="AQ6" s="15" t="n">
        <f aca="false">AE7*Assumptions!$B$61</f>
        <v>58.2944875</v>
      </c>
      <c r="AR6" s="15" t="n">
        <f aca="false">AF7*Assumptions!$B$61</f>
        <v>58.2944875</v>
      </c>
      <c r="AS6" s="15" t="n">
        <f aca="false">AG7*Assumptions!$B$61</f>
        <v>58.2944875</v>
      </c>
      <c r="AT6" s="15" t="n">
        <f aca="false">AH7*Assumptions!$B$61</f>
        <v>58.2944875</v>
      </c>
      <c r="AU6" s="15" t="n">
        <f aca="false">AI7*Assumptions!$B$61</f>
        <v>58.2944875</v>
      </c>
      <c r="AV6" s="15" t="n">
        <f aca="false">AJ7*Assumptions!$B$61</f>
        <v>58.2944875</v>
      </c>
      <c r="AW6" s="15" t="n">
        <f aca="false">AK7*Assumptions!$B$61</f>
        <v>58.2944875</v>
      </c>
      <c r="AX6" s="15" t="n">
        <f aca="false">AL7*Assumptions!$B$61</f>
        <v>87.95882875</v>
      </c>
      <c r="AY6" s="15" t="n">
        <f aca="false">AM7*Assumptions!$B$61</f>
        <v>90.3600575</v>
      </c>
      <c r="AZ6" s="15" t="n">
        <f aca="false">AN7*Assumptions!$B$61</f>
        <v>92.76128625</v>
      </c>
      <c r="BA6" s="15" t="n">
        <f aca="false">AO7*Assumptions!$B$61</f>
        <v>95.110314375</v>
      </c>
      <c r="BB6" s="15" t="n">
        <f aca="false">AP7*Assumptions!$B$61</f>
        <v>95.110314375</v>
      </c>
      <c r="BC6" s="15" t="n">
        <f aca="false">AQ7*Assumptions!$B$61</f>
        <v>95.110314375</v>
      </c>
      <c r="BD6" s="15" t="n">
        <f aca="false">AR7*Assumptions!$B$61</f>
        <v>95.110314375</v>
      </c>
      <c r="BE6" s="15" t="n">
        <f aca="false">AS7*Assumptions!$B$61</f>
        <v>95.110314375</v>
      </c>
      <c r="BF6" s="15" t="n">
        <f aca="false">AT7*Assumptions!$B$61</f>
        <v>95.110314375</v>
      </c>
      <c r="BG6" s="15" t="n">
        <f aca="false">AU7*Assumptions!$B$61</f>
        <v>95.110314375</v>
      </c>
      <c r="BH6" s="15" t="n">
        <f aca="false">AV7*Assumptions!$B$61</f>
        <v>95.110314375</v>
      </c>
      <c r="BI6" s="15" t="n">
        <f aca="false">AW7*Assumptions!$B$61</f>
        <v>95.110314375</v>
      </c>
    </row>
    <row r="7" customFormat="false" ht="15" hidden="false" customHeight="true" outlineLevel="0" collapsed="false">
      <c r="A7" s="5" t="s">
        <v>85</v>
      </c>
      <c r="B7" s="16" t="n">
        <f aca="false">B5+B6</f>
        <v>4.6</v>
      </c>
      <c r="C7" s="16" t="n">
        <f aca="false">C5+C6</f>
        <v>9.2</v>
      </c>
      <c r="D7" s="16" t="n">
        <f aca="false">D5+D6</f>
        <v>13.8</v>
      </c>
      <c r="E7" s="16" t="n">
        <f aca="false">E5+E6</f>
        <v>18.3</v>
      </c>
      <c r="F7" s="16" t="n">
        <f aca="false">F5+F6</f>
        <v>18.3</v>
      </c>
      <c r="G7" s="16" t="n">
        <f aca="false">G5+G6</f>
        <v>18.3</v>
      </c>
      <c r="H7" s="16" t="n">
        <f aca="false">H5+H6</f>
        <v>18.3</v>
      </c>
      <c r="I7" s="16" t="n">
        <f aca="false">I5+I6</f>
        <v>18.3</v>
      </c>
      <c r="J7" s="16" t="n">
        <f aca="false">J5+J6</f>
        <v>18.3</v>
      </c>
      <c r="K7" s="16" t="n">
        <f aca="false">K5+K6</f>
        <v>18.3</v>
      </c>
      <c r="L7" s="16" t="n">
        <f aca="false">L5+L6</f>
        <v>18.3</v>
      </c>
      <c r="M7" s="16" t="n">
        <f aca="false">M5+M6</f>
        <v>18.3</v>
      </c>
      <c r="N7" s="16" t="n">
        <f aca="false">N5+N6</f>
        <v>25.51</v>
      </c>
      <c r="O7" s="16" t="n">
        <f aca="false">O5+O6</f>
        <v>29.42</v>
      </c>
      <c r="P7" s="16" t="n">
        <f aca="false">P5+P6</f>
        <v>33.33</v>
      </c>
      <c r="Q7" s="16" t="n">
        <f aca="false">Q5+Q6</f>
        <v>37.155</v>
      </c>
      <c r="R7" s="16" t="n">
        <f aca="false">R5+R6</f>
        <v>37.155</v>
      </c>
      <c r="S7" s="16" t="n">
        <f aca="false">S5+S6</f>
        <v>37.155</v>
      </c>
      <c r="T7" s="16" t="n">
        <f aca="false">T5+T6</f>
        <v>37.155</v>
      </c>
      <c r="U7" s="16" t="n">
        <f aca="false">U5+U6</f>
        <v>37.155</v>
      </c>
      <c r="V7" s="16" t="n">
        <f aca="false">V5+V6</f>
        <v>37.155</v>
      </c>
      <c r="W7" s="16" t="n">
        <f aca="false">W5+W6</f>
        <v>37.155</v>
      </c>
      <c r="X7" s="16" t="n">
        <f aca="false">X5+X6</f>
        <v>37.155</v>
      </c>
      <c r="Y7" s="16" t="n">
        <f aca="false">Y5+Y6</f>
        <v>37.155</v>
      </c>
      <c r="Z7" s="16" t="n">
        <f aca="false">Z5+Z6</f>
        <v>58.6835</v>
      </c>
      <c r="AA7" s="16" t="n">
        <f aca="false">AA5+AA6</f>
        <v>62.007</v>
      </c>
      <c r="AB7" s="16" t="n">
        <f aca="false">AB5+AB6</f>
        <v>65.3305</v>
      </c>
      <c r="AC7" s="16" t="n">
        <f aca="false">AC5+AC6</f>
        <v>68.58175</v>
      </c>
      <c r="AD7" s="16" t="n">
        <f aca="false">AD5+AD6</f>
        <v>68.58175</v>
      </c>
      <c r="AE7" s="16" t="n">
        <f aca="false">AE5+AE6</f>
        <v>68.58175</v>
      </c>
      <c r="AF7" s="16" t="n">
        <f aca="false">AF5+AF6</f>
        <v>68.58175</v>
      </c>
      <c r="AG7" s="16" t="n">
        <f aca="false">AG5+AG6</f>
        <v>68.58175</v>
      </c>
      <c r="AH7" s="16" t="n">
        <f aca="false">AH5+AH6</f>
        <v>68.58175</v>
      </c>
      <c r="AI7" s="16" t="n">
        <f aca="false">AI5+AI6</f>
        <v>68.58175</v>
      </c>
      <c r="AJ7" s="16" t="n">
        <f aca="false">AJ5+AJ6</f>
        <v>68.58175</v>
      </c>
      <c r="AK7" s="16" t="n">
        <f aca="false">AK5+AK6</f>
        <v>68.58175</v>
      </c>
      <c r="AL7" s="16" t="n">
        <f aca="false">AL5+AL6</f>
        <v>103.480975</v>
      </c>
      <c r="AM7" s="16" t="n">
        <f aca="false">AM5+AM6</f>
        <v>106.30595</v>
      </c>
      <c r="AN7" s="16" t="n">
        <f aca="false">AN5+AN6</f>
        <v>109.130925</v>
      </c>
      <c r="AO7" s="16" t="n">
        <f aca="false">AO5+AO6</f>
        <v>111.8944875</v>
      </c>
      <c r="AP7" s="16" t="n">
        <f aca="false">AP5+AP6</f>
        <v>111.8944875</v>
      </c>
      <c r="AQ7" s="16" t="n">
        <f aca="false">AQ5+AQ6</f>
        <v>111.8944875</v>
      </c>
      <c r="AR7" s="16" t="n">
        <f aca="false">AR5+AR6</f>
        <v>111.8944875</v>
      </c>
      <c r="AS7" s="16" t="n">
        <f aca="false">AS5+AS6</f>
        <v>111.8944875</v>
      </c>
      <c r="AT7" s="16" t="n">
        <f aca="false">AT5+AT6</f>
        <v>111.8944875</v>
      </c>
      <c r="AU7" s="16" t="n">
        <f aca="false">AU5+AU6</f>
        <v>111.8944875</v>
      </c>
      <c r="AV7" s="16" t="n">
        <f aca="false">AV5+AV6</f>
        <v>111.8944875</v>
      </c>
      <c r="AW7" s="16" t="n">
        <f aca="false">AW5+AW6</f>
        <v>111.8944875</v>
      </c>
      <c r="AX7" s="16" t="n">
        <f aca="false">AX5+AX6</f>
        <v>159.85882875</v>
      </c>
      <c r="AY7" s="16" t="n">
        <f aca="false">AY5+AY6</f>
        <v>162.2600575</v>
      </c>
      <c r="AZ7" s="16" t="n">
        <f aca="false">AZ5+AZ6</f>
        <v>164.66128625</v>
      </c>
      <c r="BA7" s="16" t="n">
        <f aca="false">BA5+BA6</f>
        <v>167.010314375</v>
      </c>
      <c r="BB7" s="16" t="n">
        <f aca="false">BB5+BB6</f>
        <v>167.010314375</v>
      </c>
      <c r="BC7" s="16" t="n">
        <f aca="false">BC5+BC6</f>
        <v>167.010314375</v>
      </c>
      <c r="BD7" s="16" t="n">
        <f aca="false">BD5+BD6</f>
        <v>167.010314375</v>
      </c>
      <c r="BE7" s="16" t="n">
        <f aca="false">BE5+BE6</f>
        <v>167.010314375</v>
      </c>
      <c r="BF7" s="16" t="n">
        <f aca="false">BF5+BF6</f>
        <v>167.010314375</v>
      </c>
      <c r="BG7" s="16" t="n">
        <f aca="false">BG5+BG6</f>
        <v>167.010314375</v>
      </c>
      <c r="BH7" s="16" t="n">
        <f aca="false">BH5+BH6</f>
        <v>167.010314375</v>
      </c>
      <c r="BI7" s="16" t="n">
        <f aca="false">BI5+BI6</f>
        <v>167.010314375</v>
      </c>
    </row>
    <row r="8" customFormat="false" ht="15" hidden="false" customHeight="true" outlineLevel="0" collapsed="false">
      <c r="A8" s="5" t="s">
        <v>86</v>
      </c>
      <c r="B8" s="14" t="n">
        <f aca="false">SUM(B7:B7)</f>
        <v>4.6</v>
      </c>
      <c r="C8" s="14" t="n">
        <f aca="false">SUM(B7:C7)</f>
        <v>13.8</v>
      </c>
      <c r="D8" s="14" t="n">
        <f aca="false">SUM(B7:D7)</f>
        <v>27.6</v>
      </c>
      <c r="E8" s="14" t="n">
        <f aca="false">SUM(B7:E7)</f>
        <v>45.9</v>
      </c>
      <c r="F8" s="14" t="n">
        <f aca="false">SUM(B7:F7)</f>
        <v>64.2</v>
      </c>
      <c r="G8" s="14" t="n">
        <f aca="false">SUM(B7:G7)</f>
        <v>82.5</v>
      </c>
      <c r="H8" s="14" t="n">
        <f aca="false">SUM(B7:H7)</f>
        <v>100.8</v>
      </c>
      <c r="I8" s="14" t="n">
        <f aca="false">SUM(B7:I7)</f>
        <v>119.1</v>
      </c>
      <c r="J8" s="14" t="n">
        <f aca="false">SUM(B7:J7)</f>
        <v>137.4</v>
      </c>
      <c r="K8" s="14" t="n">
        <f aca="false">SUM(B7:K7)</f>
        <v>155.7</v>
      </c>
      <c r="L8" s="14" t="n">
        <f aca="false">SUM(B7:L7)</f>
        <v>174</v>
      </c>
      <c r="M8" s="14" t="n">
        <f aca="false">SUM(B7:M7)</f>
        <v>192.3</v>
      </c>
      <c r="N8" s="14" t="n">
        <f aca="false">SUM(C7:N7)</f>
        <v>213.21</v>
      </c>
      <c r="O8" s="14" t="n">
        <f aca="false">SUM(D7:O7)</f>
        <v>233.43</v>
      </c>
      <c r="P8" s="14" t="n">
        <f aca="false">SUM(E7:P7)</f>
        <v>252.96</v>
      </c>
      <c r="Q8" s="14" t="n">
        <f aca="false">SUM(F7:Q7)</f>
        <v>271.815</v>
      </c>
      <c r="R8" s="14" t="n">
        <f aca="false">SUM(G7:R7)</f>
        <v>290.67</v>
      </c>
      <c r="S8" s="14" t="n">
        <f aca="false">SUM(H7:S7)</f>
        <v>309.525</v>
      </c>
      <c r="T8" s="14" t="n">
        <f aca="false">SUM(I7:T7)</f>
        <v>328.38</v>
      </c>
      <c r="U8" s="14" t="n">
        <f aca="false">SUM(J7:U7)</f>
        <v>347.235</v>
      </c>
      <c r="V8" s="14" t="n">
        <f aca="false">SUM(K7:V7)</f>
        <v>366.09</v>
      </c>
      <c r="W8" s="14" t="n">
        <f aca="false">SUM(L7:W7)</f>
        <v>384.945</v>
      </c>
      <c r="X8" s="14" t="n">
        <f aca="false">SUM(M7:X7)</f>
        <v>403.8</v>
      </c>
      <c r="Y8" s="14" t="n">
        <f aca="false">SUM(N7:Y7)</f>
        <v>422.655</v>
      </c>
      <c r="Z8" s="14" t="n">
        <f aca="false">SUM(O7:Z7)</f>
        <v>455.8285</v>
      </c>
      <c r="AA8" s="14" t="n">
        <f aca="false">SUM(P7:AA7)</f>
        <v>488.4155</v>
      </c>
      <c r="AB8" s="14" t="n">
        <f aca="false">SUM(Q7:AB7)</f>
        <v>520.416</v>
      </c>
      <c r="AC8" s="14" t="n">
        <f aca="false">SUM(R7:AC7)</f>
        <v>551.84275</v>
      </c>
      <c r="AD8" s="14" t="n">
        <f aca="false">SUM(S7:AD7)</f>
        <v>583.2695</v>
      </c>
      <c r="AE8" s="14" t="n">
        <f aca="false">SUM(T7:AE7)</f>
        <v>614.69625</v>
      </c>
      <c r="AF8" s="14" t="n">
        <f aca="false">SUM(U7:AF7)</f>
        <v>646.123</v>
      </c>
      <c r="AG8" s="14" t="n">
        <f aca="false">SUM(V7:AG7)</f>
        <v>677.54975</v>
      </c>
      <c r="AH8" s="14" t="n">
        <f aca="false">SUM(W7:AH7)</f>
        <v>708.9765</v>
      </c>
      <c r="AI8" s="14" t="n">
        <f aca="false">SUM(X7:AI7)</f>
        <v>740.40325</v>
      </c>
      <c r="AJ8" s="14" t="n">
        <f aca="false">SUM(Y7:AJ7)</f>
        <v>771.83</v>
      </c>
      <c r="AK8" s="14" t="n">
        <f aca="false">SUM(Z7:AK7)</f>
        <v>803.25675</v>
      </c>
      <c r="AL8" s="14" t="n">
        <f aca="false">SUM(AA7:AL7)</f>
        <v>848.054225</v>
      </c>
      <c r="AM8" s="14" t="n">
        <f aca="false">SUM(AB7:AM7)</f>
        <v>892.353175</v>
      </c>
      <c r="AN8" s="14" t="n">
        <f aca="false">SUM(AC7:AN7)</f>
        <v>936.1536</v>
      </c>
      <c r="AO8" s="14" t="n">
        <f aca="false">SUM(AD7:AO7)</f>
        <v>979.4663375</v>
      </c>
      <c r="AP8" s="14" t="n">
        <f aca="false">SUM(AE7:AP7)</f>
        <v>1022.779075</v>
      </c>
      <c r="AQ8" s="14" t="n">
        <f aca="false">SUM(AF7:AQ7)</f>
        <v>1066.0918125</v>
      </c>
      <c r="AR8" s="14" t="n">
        <f aca="false">SUM(AG7:AR7)</f>
        <v>1109.40455</v>
      </c>
      <c r="AS8" s="14" t="n">
        <f aca="false">SUM(AH7:AS7)</f>
        <v>1152.7172875</v>
      </c>
      <c r="AT8" s="14" t="n">
        <f aca="false">SUM(AI7:AT7)</f>
        <v>1196.030025</v>
      </c>
      <c r="AU8" s="14" t="n">
        <f aca="false">SUM(AJ7:AU7)</f>
        <v>1239.3427625</v>
      </c>
      <c r="AV8" s="14" t="n">
        <f aca="false">SUM(AK7:AV7)</f>
        <v>1282.6555</v>
      </c>
      <c r="AW8" s="14" t="n">
        <f aca="false">SUM(AL7:AW7)</f>
        <v>1325.9682375</v>
      </c>
      <c r="AX8" s="14" t="n">
        <f aca="false">SUM(AM7:AX7)</f>
        <v>1382.34609125</v>
      </c>
      <c r="AY8" s="14" t="n">
        <f aca="false">SUM(AN7:AY7)</f>
        <v>1438.30019875</v>
      </c>
      <c r="AZ8" s="14" t="n">
        <f aca="false">SUM(AO7:AZ7)</f>
        <v>1493.83056</v>
      </c>
      <c r="BA8" s="14" t="n">
        <f aca="false">SUM(AP7:BA7)</f>
        <v>1548.946386875</v>
      </c>
      <c r="BB8" s="14" t="n">
        <f aca="false">SUM(AQ7:BB7)</f>
        <v>1604.06221375</v>
      </c>
      <c r="BC8" s="14" t="n">
        <f aca="false">SUM(AR7:BC7)</f>
        <v>1659.178040625</v>
      </c>
      <c r="BD8" s="14" t="n">
        <f aca="false">SUM(AS7:BD7)</f>
        <v>1714.2938675</v>
      </c>
      <c r="BE8" s="14" t="n">
        <f aca="false">SUM(AT7:BE7)</f>
        <v>1769.409694375</v>
      </c>
      <c r="BF8" s="14" t="n">
        <f aca="false">SUM(AU7:BF7)</f>
        <v>1824.52552125</v>
      </c>
      <c r="BG8" s="14" t="n">
        <f aca="false">SUM(AV7:BG7)</f>
        <v>1879.641348125</v>
      </c>
      <c r="BH8" s="14" t="n">
        <f aca="false">SUM(AW7:BH7)</f>
        <v>1934.757175</v>
      </c>
      <c r="BI8" s="14" t="n">
        <f aca="false">SUM(AX7:BI7)</f>
        <v>1989.873001875</v>
      </c>
    </row>
    <row r="10" customFormat="false" ht="15" hidden="false" customHeight="true" outlineLevel="0" collapsed="false">
      <c r="A10" s="4" t="s">
        <v>87</v>
      </c>
    </row>
    <row r="11" customFormat="false" ht="15" hidden="false" customHeight="true" outlineLevel="0" collapsed="false">
      <c r="A11" s="5" t="s">
        <v>88</v>
      </c>
      <c r="B11" s="10" t="n">
        <f aca="false">B7*Assumptions!$B$16</f>
        <v>828000</v>
      </c>
      <c r="C11" s="10" t="n">
        <f aca="false">C7*Assumptions!$B$16</f>
        <v>1656000</v>
      </c>
      <c r="D11" s="10" t="n">
        <f aca="false">D7*Assumptions!$B$16</f>
        <v>2484000</v>
      </c>
      <c r="E11" s="10" t="n">
        <f aca="false">E7*Assumptions!$B$16</f>
        <v>3294000</v>
      </c>
      <c r="F11" s="10" t="n">
        <f aca="false">F7*Assumptions!$B$16</f>
        <v>3294000</v>
      </c>
      <c r="G11" s="10" t="n">
        <f aca="false">G7*Assumptions!$B$16</f>
        <v>3294000</v>
      </c>
      <c r="H11" s="10" t="n">
        <f aca="false">H7*Assumptions!$B$16</f>
        <v>3294000</v>
      </c>
      <c r="I11" s="10" t="n">
        <f aca="false">I7*Assumptions!$B$16</f>
        <v>3294000</v>
      </c>
      <c r="J11" s="10" t="n">
        <f aca="false">J7*Assumptions!$B$16</f>
        <v>3294000</v>
      </c>
      <c r="K11" s="10" t="n">
        <f aca="false">K7*Assumptions!$B$16</f>
        <v>3294000</v>
      </c>
      <c r="L11" s="10" t="n">
        <f aca="false">L7*Assumptions!$B$16</f>
        <v>3294000</v>
      </c>
      <c r="M11" s="10" t="n">
        <f aca="false">M7*Assumptions!$B$16</f>
        <v>3294000</v>
      </c>
      <c r="N11" s="10" t="n">
        <f aca="false">N7*Assumptions!$B$16</f>
        <v>4591800</v>
      </c>
      <c r="O11" s="10" t="n">
        <f aca="false">O7*Assumptions!$B$16</f>
        <v>5295600</v>
      </c>
      <c r="P11" s="10" t="n">
        <f aca="false">P7*Assumptions!$B$16</f>
        <v>5999400</v>
      </c>
      <c r="Q11" s="10" t="n">
        <f aca="false">Q7*Assumptions!$B$16</f>
        <v>6687900</v>
      </c>
      <c r="R11" s="10" t="n">
        <f aca="false">R7*Assumptions!$B$16</f>
        <v>6687900</v>
      </c>
      <c r="S11" s="10" t="n">
        <f aca="false">S7*Assumptions!$B$16</f>
        <v>6687900</v>
      </c>
      <c r="T11" s="10" t="n">
        <f aca="false">T7*Assumptions!$B$16</f>
        <v>6687900</v>
      </c>
      <c r="U11" s="10" t="n">
        <f aca="false">U7*Assumptions!$B$16</f>
        <v>6687900</v>
      </c>
      <c r="V11" s="10" t="n">
        <f aca="false">V7*Assumptions!$B$16</f>
        <v>6687900</v>
      </c>
      <c r="W11" s="10" t="n">
        <f aca="false">W7*Assumptions!$B$16</f>
        <v>6687900</v>
      </c>
      <c r="X11" s="10" t="n">
        <f aca="false">X7*Assumptions!$B$16</f>
        <v>6687900</v>
      </c>
      <c r="Y11" s="10" t="n">
        <f aca="false">Y7*Assumptions!$B$16</f>
        <v>6687900</v>
      </c>
      <c r="Z11" s="10" t="n">
        <f aca="false">Z7*Assumptions!$B$16</f>
        <v>10563030</v>
      </c>
      <c r="AA11" s="10" t="n">
        <f aca="false">AA7*Assumptions!$B$16</f>
        <v>11161260</v>
      </c>
      <c r="AB11" s="10" t="n">
        <f aca="false">AB7*Assumptions!$B$16</f>
        <v>11759490</v>
      </c>
      <c r="AC11" s="10" t="n">
        <f aca="false">AC7*Assumptions!$B$16</f>
        <v>12344715</v>
      </c>
      <c r="AD11" s="10" t="n">
        <f aca="false">AD7*Assumptions!$B$16</f>
        <v>12344715</v>
      </c>
      <c r="AE11" s="10" t="n">
        <f aca="false">AE7*Assumptions!$B$16</f>
        <v>12344715</v>
      </c>
      <c r="AF11" s="10" t="n">
        <f aca="false">AF7*Assumptions!$B$16</f>
        <v>12344715</v>
      </c>
      <c r="AG11" s="10" t="n">
        <f aca="false">AG7*Assumptions!$B$16</f>
        <v>12344715</v>
      </c>
      <c r="AH11" s="10" t="n">
        <f aca="false">AH7*Assumptions!$B$16</f>
        <v>12344715</v>
      </c>
      <c r="AI11" s="10" t="n">
        <f aca="false">AI7*Assumptions!$B$16</f>
        <v>12344715</v>
      </c>
      <c r="AJ11" s="10" t="n">
        <f aca="false">AJ7*Assumptions!$B$16</f>
        <v>12344715</v>
      </c>
      <c r="AK11" s="10" t="n">
        <f aca="false">AK7*Assumptions!$B$16</f>
        <v>12344715</v>
      </c>
      <c r="AL11" s="10" t="n">
        <f aca="false">AL7*Assumptions!$B$16</f>
        <v>18626575.5</v>
      </c>
      <c r="AM11" s="10" t="n">
        <f aca="false">AM7*Assumptions!$B$16</f>
        <v>19135071</v>
      </c>
      <c r="AN11" s="10" t="n">
        <f aca="false">AN7*Assumptions!$B$16</f>
        <v>19643566.5</v>
      </c>
      <c r="AO11" s="10" t="n">
        <f aca="false">AO7*Assumptions!$B$16</f>
        <v>20141007.75</v>
      </c>
      <c r="AP11" s="10" t="n">
        <f aca="false">AP7*Assumptions!$B$16</f>
        <v>20141007.75</v>
      </c>
      <c r="AQ11" s="10" t="n">
        <f aca="false">AQ7*Assumptions!$B$16</f>
        <v>20141007.75</v>
      </c>
      <c r="AR11" s="10" t="n">
        <f aca="false">AR7*Assumptions!$B$16</f>
        <v>20141007.75</v>
      </c>
      <c r="AS11" s="10" t="n">
        <f aca="false">AS7*Assumptions!$B$16</f>
        <v>20141007.75</v>
      </c>
      <c r="AT11" s="10" t="n">
        <f aca="false">AT7*Assumptions!$B$16</f>
        <v>20141007.75</v>
      </c>
      <c r="AU11" s="10" t="n">
        <f aca="false">AU7*Assumptions!$B$16</f>
        <v>20141007.75</v>
      </c>
      <c r="AV11" s="10" t="n">
        <f aca="false">AV7*Assumptions!$B$16</f>
        <v>20141007.75</v>
      </c>
      <c r="AW11" s="10" t="n">
        <f aca="false">AW7*Assumptions!$B$16</f>
        <v>20141007.75</v>
      </c>
      <c r="AX11" s="10" t="n">
        <f aca="false">AX7*Assumptions!$B$16</f>
        <v>28774589.175</v>
      </c>
      <c r="AY11" s="10" t="n">
        <f aca="false">AY7*Assumptions!$B$16</f>
        <v>29206810.35</v>
      </c>
      <c r="AZ11" s="10" t="n">
        <f aca="false">AZ7*Assumptions!$B$16</f>
        <v>29639031.525</v>
      </c>
      <c r="BA11" s="10" t="n">
        <f aca="false">BA7*Assumptions!$B$16</f>
        <v>30061856.5875</v>
      </c>
      <c r="BB11" s="10" t="n">
        <f aca="false">BB7*Assumptions!$B$16</f>
        <v>30061856.5875</v>
      </c>
      <c r="BC11" s="10" t="n">
        <f aca="false">BC7*Assumptions!$B$16</f>
        <v>30061856.5875</v>
      </c>
      <c r="BD11" s="10" t="n">
        <f aca="false">BD7*Assumptions!$B$16</f>
        <v>30061856.5875</v>
      </c>
      <c r="BE11" s="10" t="n">
        <f aca="false">BE7*Assumptions!$B$16</f>
        <v>30061856.5875</v>
      </c>
      <c r="BF11" s="10" t="n">
        <f aca="false">BF7*Assumptions!$B$16</f>
        <v>30061856.5875</v>
      </c>
      <c r="BG11" s="10" t="n">
        <f aca="false">BG7*Assumptions!$B$16</f>
        <v>30061856.5875</v>
      </c>
      <c r="BH11" s="10" t="n">
        <f aca="false">BH7*Assumptions!$B$16</f>
        <v>30061856.5875</v>
      </c>
      <c r="BI11" s="10" t="n">
        <f aca="false">BI7*Assumptions!$B$16</f>
        <v>30061856.5875</v>
      </c>
    </row>
    <row r="12" customFormat="false" ht="15" hidden="false" customHeight="true" outlineLevel="0" collapsed="false">
      <c r="A12" s="5" t="s">
        <v>89</v>
      </c>
      <c r="B12" s="10" t="n">
        <f aca="false">B11*Assumptions!$B$63</f>
        <v>24840</v>
      </c>
      <c r="C12" s="10" t="n">
        <f aca="false">C11*Assumptions!$B$63</f>
        <v>49680</v>
      </c>
      <c r="D12" s="10" t="n">
        <f aca="false">D11*Assumptions!$B$63</f>
        <v>74520</v>
      </c>
      <c r="E12" s="10" t="n">
        <f aca="false">E11*Assumptions!$B$63</f>
        <v>98820</v>
      </c>
      <c r="F12" s="10" t="n">
        <f aca="false">F11*Assumptions!$B$63</f>
        <v>98820</v>
      </c>
      <c r="G12" s="10" t="n">
        <f aca="false">G11*Assumptions!$B$63</f>
        <v>98820</v>
      </c>
      <c r="H12" s="10" t="n">
        <f aca="false">H11*Assumptions!$B$63</f>
        <v>98820</v>
      </c>
      <c r="I12" s="10" t="n">
        <f aca="false">I11*Assumptions!$B$63</f>
        <v>98820</v>
      </c>
      <c r="J12" s="10" t="n">
        <f aca="false">J11*Assumptions!$B$63</f>
        <v>98820</v>
      </c>
      <c r="K12" s="10" t="n">
        <f aca="false">K11*Assumptions!$B$63</f>
        <v>98820</v>
      </c>
      <c r="L12" s="10" t="n">
        <f aca="false">L11*Assumptions!$B$63</f>
        <v>98820</v>
      </c>
      <c r="M12" s="10" t="n">
        <f aca="false">M11*Assumptions!$B$63</f>
        <v>98820</v>
      </c>
      <c r="N12" s="10" t="n">
        <f aca="false">N11*Assumptions!$B$63</f>
        <v>137754</v>
      </c>
      <c r="O12" s="10" t="n">
        <f aca="false">O11*Assumptions!$B$63</f>
        <v>158868</v>
      </c>
      <c r="P12" s="10" t="n">
        <f aca="false">P11*Assumptions!$B$63</f>
        <v>179982</v>
      </c>
      <c r="Q12" s="10" t="n">
        <f aca="false">Q11*Assumptions!$B$63</f>
        <v>200637</v>
      </c>
      <c r="R12" s="10" t="n">
        <f aca="false">R11*Assumptions!$B$63</f>
        <v>200637</v>
      </c>
      <c r="S12" s="10" t="n">
        <f aca="false">S11*Assumptions!$B$63</f>
        <v>200637</v>
      </c>
      <c r="T12" s="10" t="n">
        <f aca="false">T11*Assumptions!$B$63</f>
        <v>200637</v>
      </c>
      <c r="U12" s="10" t="n">
        <f aca="false">U11*Assumptions!$B$63</f>
        <v>200637</v>
      </c>
      <c r="V12" s="10" t="n">
        <f aca="false">V11*Assumptions!$B$63</f>
        <v>200637</v>
      </c>
      <c r="W12" s="10" t="n">
        <f aca="false">W11*Assumptions!$B$63</f>
        <v>200637</v>
      </c>
      <c r="X12" s="10" t="n">
        <f aca="false">X11*Assumptions!$B$63</f>
        <v>200637</v>
      </c>
      <c r="Y12" s="10" t="n">
        <f aca="false">Y11*Assumptions!$B$63</f>
        <v>200637</v>
      </c>
      <c r="Z12" s="10" t="n">
        <f aca="false">Z11*Assumptions!$B$63</f>
        <v>316890.9</v>
      </c>
      <c r="AA12" s="10" t="n">
        <f aca="false">AA11*Assumptions!$B$63</f>
        <v>334837.8</v>
      </c>
      <c r="AB12" s="10" t="n">
        <f aca="false">AB11*Assumptions!$B$63</f>
        <v>352784.7</v>
      </c>
      <c r="AC12" s="10" t="n">
        <f aca="false">AC11*Assumptions!$B$63</f>
        <v>370341.45</v>
      </c>
      <c r="AD12" s="10" t="n">
        <f aca="false">AD11*Assumptions!$B$63</f>
        <v>370341.45</v>
      </c>
      <c r="AE12" s="10" t="n">
        <f aca="false">AE11*Assumptions!$B$63</f>
        <v>370341.45</v>
      </c>
      <c r="AF12" s="10" t="n">
        <f aca="false">AF11*Assumptions!$B$63</f>
        <v>370341.45</v>
      </c>
      <c r="AG12" s="10" t="n">
        <f aca="false">AG11*Assumptions!$B$63</f>
        <v>370341.45</v>
      </c>
      <c r="AH12" s="10" t="n">
        <f aca="false">AH11*Assumptions!$B$63</f>
        <v>370341.45</v>
      </c>
      <c r="AI12" s="10" t="n">
        <f aca="false">AI11*Assumptions!$B$63</f>
        <v>370341.45</v>
      </c>
      <c r="AJ12" s="10" t="n">
        <f aca="false">AJ11*Assumptions!$B$63</f>
        <v>370341.45</v>
      </c>
      <c r="AK12" s="10" t="n">
        <f aca="false">AK11*Assumptions!$B$63</f>
        <v>370341.45</v>
      </c>
      <c r="AL12" s="10" t="n">
        <f aca="false">AL11*Assumptions!$B$63</f>
        <v>558797.265</v>
      </c>
      <c r="AM12" s="10" t="n">
        <f aca="false">AM11*Assumptions!$B$63</f>
        <v>574052.13</v>
      </c>
      <c r="AN12" s="10" t="n">
        <f aca="false">AN11*Assumptions!$B$63</f>
        <v>589306.995</v>
      </c>
      <c r="AO12" s="10" t="n">
        <f aca="false">AO11*Assumptions!$B$63</f>
        <v>604230.2325</v>
      </c>
      <c r="AP12" s="10" t="n">
        <f aca="false">AP11*Assumptions!$B$63</f>
        <v>604230.2325</v>
      </c>
      <c r="AQ12" s="10" t="n">
        <f aca="false">AQ11*Assumptions!$B$63</f>
        <v>604230.2325</v>
      </c>
      <c r="AR12" s="10" t="n">
        <f aca="false">AR11*Assumptions!$B$63</f>
        <v>604230.2325</v>
      </c>
      <c r="AS12" s="10" t="n">
        <f aca="false">AS11*Assumptions!$B$63</f>
        <v>604230.2325</v>
      </c>
      <c r="AT12" s="10" t="n">
        <f aca="false">AT11*Assumptions!$B$63</f>
        <v>604230.2325</v>
      </c>
      <c r="AU12" s="10" t="n">
        <f aca="false">AU11*Assumptions!$B$63</f>
        <v>604230.2325</v>
      </c>
      <c r="AV12" s="10" t="n">
        <f aca="false">AV11*Assumptions!$B$63</f>
        <v>604230.2325</v>
      </c>
      <c r="AW12" s="10" t="n">
        <f aca="false">AW11*Assumptions!$B$63</f>
        <v>604230.2325</v>
      </c>
      <c r="AX12" s="10" t="n">
        <f aca="false">AX11*Assumptions!$B$63</f>
        <v>863237.67525</v>
      </c>
      <c r="AY12" s="10" t="n">
        <f aca="false">AY11*Assumptions!$B$63</f>
        <v>876204.3105</v>
      </c>
      <c r="AZ12" s="10" t="n">
        <f aca="false">AZ11*Assumptions!$B$63</f>
        <v>889170.94575</v>
      </c>
      <c r="BA12" s="10" t="n">
        <f aca="false">BA11*Assumptions!$B$63</f>
        <v>901855.697625</v>
      </c>
      <c r="BB12" s="10" t="n">
        <f aca="false">BB11*Assumptions!$B$63</f>
        <v>901855.697625</v>
      </c>
      <c r="BC12" s="10" t="n">
        <f aca="false">BC11*Assumptions!$B$63</f>
        <v>901855.697625</v>
      </c>
      <c r="BD12" s="10" t="n">
        <f aca="false">BD11*Assumptions!$B$63</f>
        <v>901855.697625</v>
      </c>
      <c r="BE12" s="10" t="n">
        <f aca="false">BE11*Assumptions!$B$63</f>
        <v>901855.697625</v>
      </c>
      <c r="BF12" s="10" t="n">
        <f aca="false">BF11*Assumptions!$B$63</f>
        <v>901855.697625</v>
      </c>
      <c r="BG12" s="10" t="n">
        <f aca="false">BG11*Assumptions!$B$63</f>
        <v>901855.697625</v>
      </c>
      <c r="BH12" s="10" t="n">
        <f aca="false">BH11*Assumptions!$B$63</f>
        <v>901855.697625</v>
      </c>
      <c r="BI12" s="10" t="n">
        <f aca="false">BI11*Assumptions!$B$63</f>
        <v>901855.697625</v>
      </c>
    </row>
    <row r="14" customFormat="false" ht="15" hidden="false" customHeight="true" outlineLevel="0" collapsed="false">
      <c r="A14" s="4" t="s">
        <v>90</v>
      </c>
    </row>
    <row r="15" customFormat="false" ht="15" hidden="false" customHeight="true" outlineLevel="0" collapsed="false">
      <c r="A15" s="5" t="s">
        <v>91</v>
      </c>
      <c r="B15" s="15" t="n">
        <f aca="false">B8*Assumptions!$B$17/12</f>
        <v>0.824166666666667</v>
      </c>
      <c r="C15" s="15" t="n">
        <f aca="false">C8*Assumptions!$B$17/12</f>
        <v>2.4725</v>
      </c>
      <c r="D15" s="15" t="n">
        <f aca="false">D8*Assumptions!$B$17/12</f>
        <v>4.945</v>
      </c>
      <c r="E15" s="15" t="n">
        <f aca="false">E8*Assumptions!$B$17/12</f>
        <v>8.22375</v>
      </c>
      <c r="F15" s="15" t="n">
        <f aca="false">F8*Assumptions!$B$17/12</f>
        <v>11.5025</v>
      </c>
      <c r="G15" s="15" t="n">
        <f aca="false">G8*Assumptions!$B$17/12</f>
        <v>14.78125</v>
      </c>
      <c r="H15" s="15" t="n">
        <f aca="false">H8*Assumptions!$B$17/12</f>
        <v>18.06</v>
      </c>
      <c r="I15" s="15" t="n">
        <f aca="false">I8*Assumptions!$B$17/12</f>
        <v>21.33875</v>
      </c>
      <c r="J15" s="15" t="n">
        <f aca="false">J8*Assumptions!$B$17/12</f>
        <v>24.6175</v>
      </c>
      <c r="K15" s="15" t="n">
        <f aca="false">K8*Assumptions!$B$17/12</f>
        <v>27.89625</v>
      </c>
      <c r="L15" s="15" t="n">
        <f aca="false">L8*Assumptions!$B$17/12</f>
        <v>31.175</v>
      </c>
      <c r="M15" s="15" t="n">
        <f aca="false">M8*Assumptions!$B$17/12</f>
        <v>34.45375</v>
      </c>
      <c r="N15" s="15" t="n">
        <f aca="false">N8*Assumptions!$B$17/12</f>
        <v>38.200125</v>
      </c>
      <c r="O15" s="15" t="n">
        <f aca="false">O8*Assumptions!$B$17/12</f>
        <v>41.822875</v>
      </c>
      <c r="P15" s="15" t="n">
        <f aca="false">P8*Assumptions!$B$17/12</f>
        <v>45.322</v>
      </c>
      <c r="Q15" s="15" t="n">
        <f aca="false">Q8*Assumptions!$B$17/12</f>
        <v>48.7001875</v>
      </c>
      <c r="R15" s="15" t="n">
        <f aca="false">R8*Assumptions!$B$17/12</f>
        <v>52.078375</v>
      </c>
      <c r="S15" s="15" t="n">
        <f aca="false">S8*Assumptions!$B$17/12</f>
        <v>55.4565625</v>
      </c>
      <c r="T15" s="15" t="n">
        <f aca="false">T8*Assumptions!$B$17/12</f>
        <v>58.83475</v>
      </c>
      <c r="U15" s="15" t="n">
        <f aca="false">U8*Assumptions!$B$17/12</f>
        <v>62.2129375</v>
      </c>
      <c r="V15" s="15" t="n">
        <f aca="false">V8*Assumptions!$B$17/12</f>
        <v>65.591125</v>
      </c>
      <c r="W15" s="15" t="n">
        <f aca="false">W8*Assumptions!$B$17/12</f>
        <v>68.9693125</v>
      </c>
      <c r="X15" s="15" t="n">
        <f aca="false">X8*Assumptions!$B$17/12</f>
        <v>72.3475</v>
      </c>
      <c r="Y15" s="15" t="n">
        <f aca="false">Y8*Assumptions!$B$17/12</f>
        <v>75.7256875</v>
      </c>
      <c r="Z15" s="15" t="n">
        <f aca="false">Z8*Assumptions!$B$17/12</f>
        <v>81.6692729166667</v>
      </c>
      <c r="AA15" s="15" t="n">
        <f aca="false">AA8*Assumptions!$B$17/12</f>
        <v>87.5077770833333</v>
      </c>
      <c r="AB15" s="15" t="n">
        <f aca="false">AB8*Assumptions!$B$17/12</f>
        <v>93.2412</v>
      </c>
      <c r="AC15" s="15" t="n">
        <f aca="false">AC8*Assumptions!$B$17/12</f>
        <v>98.8718260416667</v>
      </c>
      <c r="AD15" s="15" t="n">
        <f aca="false">AD8*Assumptions!$B$17/12</f>
        <v>104.502452083333</v>
      </c>
      <c r="AE15" s="15" t="n">
        <f aca="false">AE8*Assumptions!$B$17/12</f>
        <v>110.133078125</v>
      </c>
      <c r="AF15" s="15" t="n">
        <f aca="false">AF8*Assumptions!$B$17/12</f>
        <v>115.763704166667</v>
      </c>
      <c r="AG15" s="15" t="n">
        <f aca="false">AG8*Assumptions!$B$17/12</f>
        <v>121.394330208333</v>
      </c>
      <c r="AH15" s="15" t="n">
        <f aca="false">AH8*Assumptions!$B$17/12</f>
        <v>127.02495625</v>
      </c>
      <c r="AI15" s="15" t="n">
        <f aca="false">AI8*Assumptions!$B$17/12</f>
        <v>132.655582291667</v>
      </c>
      <c r="AJ15" s="15" t="n">
        <f aca="false">AJ8*Assumptions!$B$17/12</f>
        <v>138.286208333333</v>
      </c>
      <c r="AK15" s="15" t="n">
        <f aca="false">AK8*Assumptions!$B$17/12</f>
        <v>143.916834375</v>
      </c>
      <c r="AL15" s="15" t="n">
        <f aca="false">AL8*Assumptions!$B$17/12</f>
        <v>151.943048645833</v>
      </c>
      <c r="AM15" s="15" t="n">
        <f aca="false">AM8*Assumptions!$B$17/12</f>
        <v>159.879943854167</v>
      </c>
      <c r="AN15" s="15" t="n">
        <f aca="false">AN8*Assumptions!$B$17/12</f>
        <v>167.72752</v>
      </c>
      <c r="AO15" s="15" t="n">
        <f aca="false">AO8*Assumptions!$B$17/12</f>
        <v>175.487718802083</v>
      </c>
      <c r="AP15" s="15" t="n">
        <f aca="false">AP8*Assumptions!$B$17/12</f>
        <v>183.247917604167</v>
      </c>
      <c r="AQ15" s="15" t="n">
        <f aca="false">AQ8*Assumptions!$B$17/12</f>
        <v>191.00811640625</v>
      </c>
      <c r="AR15" s="15" t="n">
        <f aca="false">AR8*Assumptions!$B$17/12</f>
        <v>198.768315208333</v>
      </c>
      <c r="AS15" s="15" t="n">
        <f aca="false">AS8*Assumptions!$B$17/12</f>
        <v>206.528514010417</v>
      </c>
      <c r="AT15" s="15" t="n">
        <f aca="false">AT8*Assumptions!$B$17/12</f>
        <v>214.2887128125</v>
      </c>
      <c r="AU15" s="15" t="n">
        <f aca="false">AU8*Assumptions!$B$17/12</f>
        <v>222.048911614583</v>
      </c>
      <c r="AV15" s="15" t="n">
        <f aca="false">AV8*Assumptions!$B$17/12</f>
        <v>229.809110416667</v>
      </c>
      <c r="AW15" s="15" t="n">
        <f aca="false">AW8*Assumptions!$B$17/12</f>
        <v>237.56930921875</v>
      </c>
      <c r="AX15" s="15" t="n">
        <f aca="false">AX8*Assumptions!$B$17/12</f>
        <v>247.670341348958</v>
      </c>
      <c r="AY15" s="15" t="n">
        <f aca="false">AY8*Assumptions!$B$17/12</f>
        <v>257.695452276042</v>
      </c>
      <c r="AZ15" s="15" t="n">
        <f aca="false">AZ8*Assumptions!$B$17/12</f>
        <v>267.644642</v>
      </c>
      <c r="BA15" s="15" t="n">
        <f aca="false">BA8*Assumptions!$B$17/12</f>
        <v>277.519560981771</v>
      </c>
      <c r="BB15" s="15" t="n">
        <f aca="false">BB8*Assumptions!$B$17/12</f>
        <v>287.394479963542</v>
      </c>
      <c r="BC15" s="15" t="n">
        <f aca="false">BC8*Assumptions!$B$17/12</f>
        <v>297.269398945313</v>
      </c>
      <c r="BD15" s="15" t="n">
        <f aca="false">BD8*Assumptions!$B$17/12</f>
        <v>307.144317927083</v>
      </c>
      <c r="BE15" s="15" t="n">
        <f aca="false">BE8*Assumptions!$B$17/12</f>
        <v>317.019236908854</v>
      </c>
      <c r="BF15" s="15" t="n">
        <f aca="false">BF8*Assumptions!$B$17/12</f>
        <v>326.894155890625</v>
      </c>
      <c r="BG15" s="15" t="n">
        <f aca="false">BG8*Assumptions!$B$17/12</f>
        <v>336.769074872396</v>
      </c>
      <c r="BH15" s="15" t="n">
        <f aca="false">BH8*Assumptions!$B$17/12</f>
        <v>346.643993854167</v>
      </c>
      <c r="BI15" s="15" t="n">
        <f aca="false">BI8*Assumptions!$B$17/12</f>
        <v>356.518912835938</v>
      </c>
    </row>
    <row r="16" customFormat="false" ht="15" hidden="false" customHeight="true" outlineLevel="0" collapsed="false">
      <c r="A16" s="5" t="s">
        <v>92</v>
      </c>
      <c r="B16" s="15" t="n">
        <f aca="false">B8*Assumptions!$B$18/12</f>
        <v>1.53333333333333</v>
      </c>
      <c r="C16" s="15" t="n">
        <f aca="false">C8*Assumptions!$B$18/12</f>
        <v>4.6</v>
      </c>
      <c r="D16" s="15" t="n">
        <f aca="false">D8*Assumptions!$B$18/12</f>
        <v>9.2</v>
      </c>
      <c r="E16" s="15" t="n">
        <f aca="false">E8*Assumptions!$B$18/12</f>
        <v>15.3</v>
      </c>
      <c r="F16" s="15" t="n">
        <f aca="false">F8*Assumptions!$B$18/12</f>
        <v>21.4</v>
      </c>
      <c r="G16" s="15" t="n">
        <f aca="false">G8*Assumptions!$B$18/12</f>
        <v>27.5</v>
      </c>
      <c r="H16" s="15" t="n">
        <f aca="false">H8*Assumptions!$B$18/12</f>
        <v>33.6</v>
      </c>
      <c r="I16" s="15" t="n">
        <f aca="false">I8*Assumptions!$B$18/12</f>
        <v>39.7</v>
      </c>
      <c r="J16" s="15" t="n">
        <f aca="false">J8*Assumptions!$B$18/12</f>
        <v>45.8</v>
      </c>
      <c r="K16" s="15" t="n">
        <f aca="false">K8*Assumptions!$B$18/12</f>
        <v>51.9</v>
      </c>
      <c r="L16" s="15" t="n">
        <f aca="false">L8*Assumptions!$B$18/12</f>
        <v>58</v>
      </c>
      <c r="M16" s="15" t="n">
        <f aca="false">M8*Assumptions!$B$18/12</f>
        <v>64.1</v>
      </c>
      <c r="N16" s="15" t="n">
        <f aca="false">N8*Assumptions!$B$18/12</f>
        <v>71.07</v>
      </c>
      <c r="O16" s="15" t="n">
        <f aca="false">O8*Assumptions!$B$18/12</f>
        <v>77.81</v>
      </c>
      <c r="P16" s="15" t="n">
        <f aca="false">P8*Assumptions!$B$18/12</f>
        <v>84.32</v>
      </c>
      <c r="Q16" s="15" t="n">
        <f aca="false">Q8*Assumptions!$B$18/12</f>
        <v>90.605</v>
      </c>
      <c r="R16" s="15" t="n">
        <f aca="false">R8*Assumptions!$B$18/12</f>
        <v>96.89</v>
      </c>
      <c r="S16" s="15" t="n">
        <f aca="false">S8*Assumptions!$B$18/12</f>
        <v>103.175</v>
      </c>
      <c r="T16" s="15" t="n">
        <f aca="false">T8*Assumptions!$B$18/12</f>
        <v>109.46</v>
      </c>
      <c r="U16" s="15" t="n">
        <f aca="false">U8*Assumptions!$B$18/12</f>
        <v>115.745</v>
      </c>
      <c r="V16" s="15" t="n">
        <f aca="false">V8*Assumptions!$B$18/12</f>
        <v>122.03</v>
      </c>
      <c r="W16" s="15" t="n">
        <f aca="false">W8*Assumptions!$B$18/12</f>
        <v>128.315</v>
      </c>
      <c r="X16" s="15" t="n">
        <f aca="false">X8*Assumptions!$B$18/12</f>
        <v>134.6</v>
      </c>
      <c r="Y16" s="15" t="n">
        <f aca="false">Y8*Assumptions!$B$18/12</f>
        <v>140.885</v>
      </c>
      <c r="Z16" s="15" t="n">
        <f aca="false">Z8*Assumptions!$B$18/12</f>
        <v>151.942833333333</v>
      </c>
      <c r="AA16" s="15" t="n">
        <f aca="false">AA8*Assumptions!$B$18/12</f>
        <v>162.805166666667</v>
      </c>
      <c r="AB16" s="15" t="n">
        <f aca="false">AB8*Assumptions!$B$18/12</f>
        <v>173.472</v>
      </c>
      <c r="AC16" s="15" t="n">
        <f aca="false">AC8*Assumptions!$B$18/12</f>
        <v>183.947583333333</v>
      </c>
      <c r="AD16" s="15" t="n">
        <f aca="false">AD8*Assumptions!$B$18/12</f>
        <v>194.423166666667</v>
      </c>
      <c r="AE16" s="15" t="n">
        <f aca="false">AE8*Assumptions!$B$18/12</f>
        <v>204.89875</v>
      </c>
      <c r="AF16" s="15" t="n">
        <f aca="false">AF8*Assumptions!$B$18/12</f>
        <v>215.374333333333</v>
      </c>
      <c r="AG16" s="15" t="n">
        <f aca="false">AG8*Assumptions!$B$18/12</f>
        <v>225.849916666667</v>
      </c>
      <c r="AH16" s="15" t="n">
        <f aca="false">AH8*Assumptions!$B$18/12</f>
        <v>236.3255</v>
      </c>
      <c r="AI16" s="15" t="n">
        <f aca="false">AI8*Assumptions!$B$18/12</f>
        <v>246.801083333333</v>
      </c>
      <c r="AJ16" s="15" t="n">
        <f aca="false">AJ8*Assumptions!$B$18/12</f>
        <v>257.276666666667</v>
      </c>
      <c r="AK16" s="15" t="n">
        <f aca="false">AK8*Assumptions!$B$18/12</f>
        <v>267.75225</v>
      </c>
      <c r="AL16" s="15" t="n">
        <f aca="false">AL8*Assumptions!$B$18/12</f>
        <v>282.684741666667</v>
      </c>
      <c r="AM16" s="15" t="n">
        <f aca="false">AM8*Assumptions!$B$18/12</f>
        <v>297.451058333333</v>
      </c>
      <c r="AN16" s="15" t="n">
        <f aca="false">AN8*Assumptions!$B$18/12</f>
        <v>312.0512</v>
      </c>
      <c r="AO16" s="15" t="n">
        <f aca="false">AO8*Assumptions!$B$18/12</f>
        <v>326.488779166667</v>
      </c>
      <c r="AP16" s="15" t="n">
        <f aca="false">AP8*Assumptions!$B$18/12</f>
        <v>340.926358333333</v>
      </c>
      <c r="AQ16" s="15" t="n">
        <f aca="false">AQ8*Assumptions!$B$18/12</f>
        <v>355.3639375</v>
      </c>
      <c r="AR16" s="15" t="n">
        <f aca="false">AR8*Assumptions!$B$18/12</f>
        <v>369.801516666667</v>
      </c>
      <c r="AS16" s="15" t="n">
        <f aca="false">AS8*Assumptions!$B$18/12</f>
        <v>384.239095833333</v>
      </c>
      <c r="AT16" s="15" t="n">
        <f aca="false">AT8*Assumptions!$B$18/12</f>
        <v>398.676675</v>
      </c>
      <c r="AU16" s="15" t="n">
        <f aca="false">AU8*Assumptions!$B$18/12</f>
        <v>413.114254166667</v>
      </c>
      <c r="AV16" s="15" t="n">
        <f aca="false">AV8*Assumptions!$B$18/12</f>
        <v>427.551833333333</v>
      </c>
      <c r="AW16" s="15" t="n">
        <f aca="false">AW8*Assumptions!$B$18/12</f>
        <v>441.9894125</v>
      </c>
      <c r="AX16" s="15" t="n">
        <f aca="false">AX8*Assumptions!$B$18/12</f>
        <v>460.782030416667</v>
      </c>
      <c r="AY16" s="15" t="n">
        <f aca="false">AY8*Assumptions!$B$18/12</f>
        <v>479.433399583333</v>
      </c>
      <c r="AZ16" s="15" t="n">
        <f aca="false">AZ8*Assumptions!$B$18/12</f>
        <v>497.94352</v>
      </c>
      <c r="BA16" s="15" t="n">
        <f aca="false">BA8*Assumptions!$B$18/12</f>
        <v>516.315462291667</v>
      </c>
      <c r="BB16" s="15" t="n">
        <f aca="false">BB8*Assumptions!$B$18/12</f>
        <v>534.687404583333</v>
      </c>
      <c r="BC16" s="15" t="n">
        <f aca="false">BC8*Assumptions!$B$18/12</f>
        <v>553.059346875</v>
      </c>
      <c r="BD16" s="15" t="n">
        <f aca="false">BD8*Assumptions!$B$18/12</f>
        <v>571.431289166667</v>
      </c>
      <c r="BE16" s="15" t="n">
        <f aca="false">BE8*Assumptions!$B$18/12</f>
        <v>589.803231458333</v>
      </c>
      <c r="BF16" s="15" t="n">
        <f aca="false">BF8*Assumptions!$B$18/12</f>
        <v>608.17517375</v>
      </c>
      <c r="BG16" s="15" t="n">
        <f aca="false">BG8*Assumptions!$B$18/12</f>
        <v>626.547116041667</v>
      </c>
      <c r="BH16" s="15" t="n">
        <f aca="false">BH8*Assumptions!$B$18/12</f>
        <v>644.919058333333</v>
      </c>
      <c r="BI16" s="15" t="n">
        <f aca="false">BI8*Assumptions!$B$18/12</f>
        <v>663.291000625</v>
      </c>
    </row>
    <row r="17" customFormat="false" ht="15" hidden="false" customHeight="true" outlineLevel="0" collapsed="false">
      <c r="A17" s="5" t="s">
        <v>93</v>
      </c>
      <c r="B17" s="14" t="n">
        <f aca="false">MAX(1,ROUNDUP(B15/(Assumptions!$B$33*Assumptions!$B$6*Assumptions!$B$35),0))</f>
        <v>1</v>
      </c>
      <c r="C17" s="14" t="n">
        <f aca="false">MAX(1,ROUNDUP(C15/(Assumptions!$B$33*Assumptions!$B$6*Assumptions!$B$35),0))</f>
        <v>1</v>
      </c>
      <c r="D17" s="14" t="n">
        <f aca="false">MAX(1,ROUNDUP(D15/(Assumptions!$B$33*Assumptions!$B$6*Assumptions!$B$35),0))</f>
        <v>1</v>
      </c>
      <c r="E17" s="14" t="n">
        <f aca="false">MAX(1,ROUNDUP(E15/(Assumptions!$B$33*Assumptions!$B$6*Assumptions!$B$35),0))</f>
        <v>1</v>
      </c>
      <c r="F17" s="14" t="n">
        <f aca="false">MAX(1,ROUNDUP(F15/(Assumptions!$B$33*Assumptions!$B$6*Assumptions!$B$35),0))</f>
        <v>1</v>
      </c>
      <c r="G17" s="14" t="n">
        <f aca="false">MAX(1,ROUNDUP(G15/(Assumptions!$C$33*Assumptions!$B$6*Assumptions!$B$35),0))</f>
        <v>1</v>
      </c>
      <c r="H17" s="14" t="n">
        <f aca="false">MAX(1,ROUNDUP(H15/(Assumptions!$C$33*Assumptions!$B$6*Assumptions!$B$35),0))</f>
        <v>1</v>
      </c>
      <c r="I17" s="14" t="n">
        <f aca="false">MAX(1,ROUNDUP(I15/(Assumptions!$C$33*Assumptions!$B$6*Assumptions!$B$35),0))</f>
        <v>1</v>
      </c>
      <c r="J17" s="14" t="n">
        <f aca="false">MAX(1,ROUNDUP(J15/(Assumptions!$C$33*Assumptions!$B$6*Assumptions!$B$35),0))</f>
        <v>1</v>
      </c>
      <c r="K17" s="14" t="n">
        <f aca="false">MAX(1,ROUNDUP(K15/(Assumptions!$C$33*Assumptions!$B$6*Assumptions!$B$35),0))</f>
        <v>1</v>
      </c>
      <c r="L17" s="14" t="n">
        <f aca="false">MAX(1,ROUNDUP(L15/(Assumptions!$C$33*Assumptions!$B$6*Assumptions!$B$35),0))</f>
        <v>1</v>
      </c>
      <c r="M17" s="14" t="n">
        <f aca="false">MAX(1,ROUNDUP(M15/(Assumptions!$C$33*Assumptions!$B$6*Assumptions!$B$35),0))</f>
        <v>1</v>
      </c>
      <c r="N17" s="14" t="n">
        <f aca="false">MAX(1,ROUNDUP(N15/(Assumptions!$C$33*Assumptions!$B$6*Assumptions!$B$35),0))</f>
        <v>1</v>
      </c>
      <c r="O17" s="14" t="n">
        <f aca="false">MAX(1,ROUNDUP(O15/(Assumptions!$C$33*Assumptions!$B$6*Assumptions!$B$35),0))</f>
        <v>1</v>
      </c>
      <c r="P17" s="14" t="n">
        <f aca="false">MAX(1,ROUNDUP(P15/(Assumptions!$C$33*Assumptions!$B$6*Assumptions!$B$35),0))</f>
        <v>1</v>
      </c>
      <c r="Q17" s="14" t="n">
        <f aca="false">MAX(1,ROUNDUP(Q15/(Assumptions!$C$33*Assumptions!$B$6*Assumptions!$B$35),0))</f>
        <v>1</v>
      </c>
      <c r="R17" s="14" t="n">
        <f aca="false">MAX(1,ROUNDUP(R15/(Assumptions!$C$33*Assumptions!$B$6*Assumptions!$B$35),0))</f>
        <v>1</v>
      </c>
      <c r="S17" s="14" t="n">
        <f aca="false">MAX(1,ROUNDUP(S15/(Assumptions!$C$33*Assumptions!$B$6*Assumptions!$B$35),0))</f>
        <v>1</v>
      </c>
      <c r="T17" s="14" t="n">
        <f aca="false">MAX(1,ROUNDUP(T15/(Assumptions!$C$33*Assumptions!$B$6*Assumptions!$B$35),0))</f>
        <v>1</v>
      </c>
      <c r="U17" s="14" t="n">
        <f aca="false">MAX(1,ROUNDUP(U15/(Assumptions!$C$33*Assumptions!$B$6*Assumptions!$B$35),0))</f>
        <v>1</v>
      </c>
      <c r="V17" s="14" t="n">
        <f aca="false">MAX(1,ROUNDUP(V15/(Assumptions!$C$33*Assumptions!$B$6*Assumptions!$B$35),0))</f>
        <v>1</v>
      </c>
      <c r="W17" s="14" t="n">
        <f aca="false">MAX(1,ROUNDUP(W15/(Assumptions!$C$33*Assumptions!$B$6*Assumptions!$B$35),0))</f>
        <v>1</v>
      </c>
      <c r="X17" s="14" t="n">
        <f aca="false">MAX(1,ROUNDUP(X15/(Assumptions!$C$33*Assumptions!$B$6*Assumptions!$B$35),0))</f>
        <v>1</v>
      </c>
      <c r="Y17" s="14" t="n">
        <f aca="false">MAX(1,ROUNDUP(Y15/(Assumptions!$C$33*Assumptions!$B$6*Assumptions!$B$35),0))</f>
        <v>1</v>
      </c>
      <c r="Z17" s="14" t="n">
        <f aca="false">MAX(1,ROUNDUP(Z15/(Assumptions!$C$33*Assumptions!$B$6*Assumptions!$B$35),0))</f>
        <v>2</v>
      </c>
      <c r="AA17" s="14" t="n">
        <f aca="false">MAX(1,ROUNDUP(AA15/(Assumptions!$C$33*Assumptions!$B$6*Assumptions!$B$35),0))</f>
        <v>2</v>
      </c>
      <c r="AB17" s="14" t="n">
        <f aca="false">MAX(1,ROUNDUP(AB15/(Assumptions!$C$33*Assumptions!$B$6*Assumptions!$B$35),0))</f>
        <v>2</v>
      </c>
      <c r="AC17" s="14" t="n">
        <f aca="false">MAX(1,ROUNDUP(AC15/(Assumptions!$C$33*Assumptions!$B$6*Assumptions!$B$35),0))</f>
        <v>2</v>
      </c>
      <c r="AD17" s="14" t="n">
        <f aca="false">MAX(1,ROUNDUP(AD15/(Assumptions!$C$33*Assumptions!$B$6*Assumptions!$B$35),0))</f>
        <v>2</v>
      </c>
      <c r="AE17" s="14" t="n">
        <f aca="false">MAX(1,ROUNDUP(AE15/(Assumptions!$C$33*Assumptions!$B$6*Assumptions!$B$35),0))</f>
        <v>2</v>
      </c>
      <c r="AF17" s="14" t="n">
        <f aca="false">MAX(1,ROUNDUP(AF15/(Assumptions!$C$33*Assumptions!$B$6*Assumptions!$B$35),0))</f>
        <v>2</v>
      </c>
      <c r="AG17" s="14" t="n">
        <f aca="false">MAX(1,ROUNDUP(AG15/(Assumptions!$C$33*Assumptions!$B$6*Assumptions!$B$35),0))</f>
        <v>2</v>
      </c>
      <c r="AH17" s="14" t="n">
        <f aca="false">MAX(1,ROUNDUP(AH15/(Assumptions!$C$33*Assumptions!$B$6*Assumptions!$B$35),0))</f>
        <v>2</v>
      </c>
      <c r="AI17" s="14" t="n">
        <f aca="false">MAX(1,ROUNDUP(AI15/(Assumptions!$C$33*Assumptions!$B$6*Assumptions!$B$35),0))</f>
        <v>2</v>
      </c>
      <c r="AJ17" s="14" t="n">
        <f aca="false">MAX(1,ROUNDUP(AJ15/(Assumptions!$C$33*Assumptions!$B$6*Assumptions!$B$35),0))</f>
        <v>2</v>
      </c>
      <c r="AK17" s="14" t="n">
        <f aca="false">MAX(1,ROUNDUP(AK15/(Assumptions!$C$33*Assumptions!$B$6*Assumptions!$B$35),0))</f>
        <v>2</v>
      </c>
      <c r="AL17" s="14" t="n">
        <f aca="false">MAX(1,ROUNDUP(AL15/(Assumptions!$C$33*Assumptions!$B$6*Assumptions!$B$35),0))</f>
        <v>2</v>
      </c>
      <c r="AM17" s="14" t="n">
        <f aca="false">MAX(1,ROUNDUP(AM15/(Assumptions!$C$33*Assumptions!$B$6*Assumptions!$B$35),0))</f>
        <v>3</v>
      </c>
      <c r="AN17" s="14" t="n">
        <f aca="false">MAX(1,ROUNDUP(AN15/(Assumptions!$C$33*Assumptions!$B$6*Assumptions!$B$35),0))</f>
        <v>3</v>
      </c>
      <c r="AO17" s="14" t="n">
        <f aca="false">MAX(1,ROUNDUP(AO15/(Assumptions!$C$33*Assumptions!$B$6*Assumptions!$B$35),0))</f>
        <v>3</v>
      </c>
      <c r="AP17" s="14" t="n">
        <f aca="false">MAX(1,ROUNDUP(AP15/(Assumptions!$C$33*Assumptions!$B$6*Assumptions!$B$35),0))</f>
        <v>3</v>
      </c>
      <c r="AQ17" s="14" t="n">
        <f aca="false">MAX(1,ROUNDUP(AQ15/(Assumptions!$C$33*Assumptions!$B$6*Assumptions!$B$35),0))</f>
        <v>3</v>
      </c>
      <c r="AR17" s="14" t="n">
        <f aca="false">MAX(1,ROUNDUP(AR15/(Assumptions!$C$33*Assumptions!$B$6*Assumptions!$B$35),0))</f>
        <v>3</v>
      </c>
      <c r="AS17" s="14" t="n">
        <f aca="false">MAX(1,ROUNDUP(AS15/(Assumptions!$C$33*Assumptions!$B$6*Assumptions!$B$35),0))</f>
        <v>3</v>
      </c>
      <c r="AT17" s="14" t="n">
        <f aca="false">MAX(1,ROUNDUP(AT15/(Assumptions!$C$33*Assumptions!$B$6*Assumptions!$B$35),0))</f>
        <v>3</v>
      </c>
      <c r="AU17" s="14" t="n">
        <f aca="false">MAX(1,ROUNDUP(AU15/(Assumptions!$C$33*Assumptions!$B$6*Assumptions!$B$35),0))</f>
        <v>3</v>
      </c>
      <c r="AV17" s="14" t="n">
        <f aca="false">MAX(1,ROUNDUP(AV15/(Assumptions!$C$33*Assumptions!$B$6*Assumptions!$B$35),0))</f>
        <v>3</v>
      </c>
      <c r="AW17" s="14" t="n">
        <f aca="false">MAX(1,ROUNDUP(AW15/(Assumptions!$C$33*Assumptions!$B$6*Assumptions!$B$35),0))</f>
        <v>4</v>
      </c>
      <c r="AX17" s="14" t="n">
        <f aca="false">MAX(1,ROUNDUP(AX15/(Assumptions!$C$33*Assumptions!$B$6*Assumptions!$B$35),0))</f>
        <v>4</v>
      </c>
      <c r="AY17" s="14" t="n">
        <f aca="false">MAX(1,ROUNDUP(AY15/(Assumptions!$C$33*Assumptions!$B$6*Assumptions!$B$35),0))</f>
        <v>4</v>
      </c>
      <c r="AZ17" s="14" t="n">
        <f aca="false">MAX(1,ROUNDUP(AZ15/(Assumptions!$C$33*Assumptions!$B$6*Assumptions!$B$35),0))</f>
        <v>4</v>
      </c>
      <c r="BA17" s="14" t="n">
        <f aca="false">MAX(1,ROUNDUP(BA15/(Assumptions!$C$33*Assumptions!$B$6*Assumptions!$B$35),0))</f>
        <v>4</v>
      </c>
      <c r="BB17" s="14" t="n">
        <f aca="false">MAX(1,ROUNDUP(BB15/(Assumptions!$C$33*Assumptions!$B$6*Assumptions!$B$35),0))</f>
        <v>4</v>
      </c>
      <c r="BC17" s="14" t="n">
        <f aca="false">MAX(1,ROUNDUP(BC15/(Assumptions!$C$33*Assumptions!$B$6*Assumptions!$B$35),0))</f>
        <v>4</v>
      </c>
      <c r="BD17" s="14" t="n">
        <f aca="false">MAX(1,ROUNDUP(BD15/(Assumptions!$C$33*Assumptions!$B$6*Assumptions!$B$35),0))</f>
        <v>4</v>
      </c>
      <c r="BE17" s="14" t="n">
        <f aca="false">MAX(1,ROUNDUP(BE15/(Assumptions!$C$33*Assumptions!$B$6*Assumptions!$B$35),0))</f>
        <v>5</v>
      </c>
      <c r="BF17" s="14" t="n">
        <f aca="false">MAX(1,ROUNDUP(BF15/(Assumptions!$C$33*Assumptions!$B$6*Assumptions!$B$35),0))</f>
        <v>5</v>
      </c>
      <c r="BG17" s="14" t="n">
        <f aca="false">MAX(1,ROUNDUP(BG15/(Assumptions!$C$33*Assumptions!$B$6*Assumptions!$B$35),0))</f>
        <v>5</v>
      </c>
      <c r="BH17" s="14" t="n">
        <f aca="false">MAX(1,ROUNDUP(BH15/(Assumptions!$C$33*Assumptions!$B$6*Assumptions!$B$35),0))</f>
        <v>5</v>
      </c>
      <c r="BI17" s="14" t="n">
        <f aca="false">MAX(1,ROUNDUP(BI15/(Assumptions!$C$33*Assumptions!$B$6*Assumptions!$B$35),0))</f>
        <v>5</v>
      </c>
    </row>
    <row r="18" customFormat="false" ht="15" hidden="false" customHeight="true" outlineLevel="0" collapsed="false">
      <c r="A18" s="5" t="s">
        <v>94</v>
      </c>
      <c r="B18" s="14" t="n">
        <f aca="false">IF((B15+B16)&lt;=Assumptions!$B$33*Assumptions!$B$6*B17*Assumptions!$B$35,0,ROUNDUP(B16/(Assumptions!$B$34*Assumptions!$B$6*Assumptions!$B$35),0))</f>
        <v>0</v>
      </c>
      <c r="C18" s="14" t="n">
        <f aca="false">IF((C15+C16)&lt;=Assumptions!$B$33*Assumptions!$B$6*C17*Assumptions!$B$35,0,ROUNDUP(C16/(Assumptions!$B$34*Assumptions!$B$6*Assumptions!$B$35),0))</f>
        <v>0</v>
      </c>
      <c r="D18" s="14" t="n">
        <f aca="false">IF((D15+D16)&lt;=Assumptions!$B$33*Assumptions!$B$6*D17*Assumptions!$B$35,0,ROUNDUP(D16/(Assumptions!$B$34*Assumptions!$B$6*Assumptions!$B$35),0))</f>
        <v>0</v>
      </c>
      <c r="E18" s="14" t="n">
        <f aca="false">IF((E15+E16)&lt;=Assumptions!$B$33*Assumptions!$B$6*E17*Assumptions!$B$35,0,ROUNDUP(E16/(Assumptions!$B$34*Assumptions!$B$6*Assumptions!$B$35),0))</f>
        <v>0</v>
      </c>
      <c r="F18" s="14" t="n">
        <f aca="false">IF((F15+F16)&lt;=Assumptions!$B$33*Assumptions!$B$6*F17*Assumptions!$B$35,0,ROUNDUP(F16/(Assumptions!$B$34*Assumptions!$B$6*Assumptions!$B$35),0))</f>
        <v>0</v>
      </c>
      <c r="G18" s="14" t="n">
        <f aca="false">IF((G15+G16)&lt;=Assumptions!$C$33*Assumptions!$B$6*G17*Assumptions!$B$35,0,ROUNDUP(G16/(Assumptions!$C$34*Assumptions!$B$6*Assumptions!$B$35),0))</f>
        <v>0</v>
      </c>
      <c r="H18" s="14" t="n">
        <f aca="false">IF((H15+H16)&lt;=Assumptions!$C$33*Assumptions!$B$6*H17*Assumptions!$B$35,0,ROUNDUP(H16/(Assumptions!$C$34*Assumptions!$B$6*Assumptions!$B$35),0))</f>
        <v>0</v>
      </c>
      <c r="I18" s="14" t="n">
        <f aca="false">IF((I15+I16)&lt;=Assumptions!$C$33*Assumptions!$B$6*I17*Assumptions!$B$35,0,ROUNDUP(I16/(Assumptions!$C$34*Assumptions!$B$6*Assumptions!$B$35),0))</f>
        <v>0</v>
      </c>
      <c r="J18" s="14" t="n">
        <f aca="false">IF((J15+J16)&lt;=Assumptions!$C$33*Assumptions!$B$6*J17*Assumptions!$B$35,0,ROUNDUP(J16/(Assumptions!$C$34*Assumptions!$B$6*Assumptions!$B$35),0))</f>
        <v>0</v>
      </c>
      <c r="K18" s="14" t="n">
        <f aca="false">IF((K15+K16)&lt;=Assumptions!$C$33*Assumptions!$B$6*K17*Assumptions!$B$35,0,ROUNDUP(K16/(Assumptions!$C$34*Assumptions!$B$6*Assumptions!$B$35),0))</f>
        <v>1</v>
      </c>
      <c r="L18" s="14" t="n">
        <f aca="false">IF((L15+L16)&lt;=Assumptions!$C$33*Assumptions!$B$6*L17*Assumptions!$B$35,0,ROUNDUP(L16/(Assumptions!$C$34*Assumptions!$B$6*Assumptions!$B$35),0))</f>
        <v>1</v>
      </c>
      <c r="M18" s="14" t="n">
        <f aca="false">IF((M15+M16)&lt;=Assumptions!$C$33*Assumptions!$B$6*M17*Assumptions!$B$35,0,ROUNDUP(M16/(Assumptions!$C$34*Assumptions!$B$6*Assumptions!$B$35),0))</f>
        <v>1</v>
      </c>
      <c r="N18" s="14" t="n">
        <f aca="false">IF((N15+N16)&lt;=Assumptions!$C$33*Assumptions!$B$6*N17*Assumptions!$B$35,0,ROUNDUP(N16/(Assumptions!$C$34*Assumptions!$B$6*Assumptions!$B$35),0))</f>
        <v>1</v>
      </c>
      <c r="O18" s="14" t="n">
        <f aca="false">IF((O15+O16)&lt;=Assumptions!$C$33*Assumptions!$B$6*O17*Assumptions!$B$35,0,ROUNDUP(O16/(Assumptions!$C$34*Assumptions!$B$6*Assumptions!$B$35),0))</f>
        <v>1</v>
      </c>
      <c r="P18" s="14" t="n">
        <f aca="false">IF((P15+P16)&lt;=Assumptions!$C$33*Assumptions!$B$6*P17*Assumptions!$B$35,0,ROUNDUP(P16/(Assumptions!$C$34*Assumptions!$B$6*Assumptions!$B$35),0))</f>
        <v>1</v>
      </c>
      <c r="Q18" s="14" t="n">
        <f aca="false">IF((Q15+Q16)&lt;=Assumptions!$C$33*Assumptions!$B$6*Q17*Assumptions!$B$35,0,ROUNDUP(Q16/(Assumptions!$C$34*Assumptions!$B$6*Assumptions!$B$35),0))</f>
        <v>1</v>
      </c>
      <c r="R18" s="14" t="n">
        <f aca="false">IF((R15+R16)&lt;=Assumptions!$C$33*Assumptions!$B$6*R17*Assumptions!$B$35,0,ROUNDUP(R16/(Assumptions!$C$34*Assumptions!$B$6*Assumptions!$B$35),0))</f>
        <v>1</v>
      </c>
      <c r="S18" s="14" t="n">
        <f aca="false">IF((S15+S16)&lt;=Assumptions!$C$33*Assumptions!$B$6*S17*Assumptions!$B$35,0,ROUNDUP(S16/(Assumptions!$C$34*Assumptions!$B$6*Assumptions!$B$35),0))</f>
        <v>1</v>
      </c>
      <c r="T18" s="14" t="n">
        <f aca="false">IF((T15+T16)&lt;=Assumptions!$C$33*Assumptions!$B$6*T17*Assumptions!$B$35,0,ROUNDUP(T16/(Assumptions!$C$34*Assumptions!$B$6*Assumptions!$B$35),0))</f>
        <v>1</v>
      </c>
      <c r="U18" s="14" t="n">
        <f aca="false">IF((U15+U16)&lt;=Assumptions!$C$33*Assumptions!$B$6*U17*Assumptions!$B$35,0,ROUNDUP(U16/(Assumptions!$C$34*Assumptions!$B$6*Assumptions!$B$35),0))</f>
        <v>1</v>
      </c>
      <c r="V18" s="14" t="n">
        <f aca="false">IF((V15+V16)&lt;=Assumptions!$C$33*Assumptions!$B$6*V17*Assumptions!$B$35,0,ROUNDUP(V16/(Assumptions!$C$34*Assumptions!$B$6*Assumptions!$B$35),0))</f>
        <v>1</v>
      </c>
      <c r="W18" s="14" t="n">
        <f aca="false">IF((W15+W16)&lt;=Assumptions!$C$33*Assumptions!$B$6*W17*Assumptions!$B$35,0,ROUNDUP(W16/(Assumptions!$C$34*Assumptions!$B$6*Assumptions!$B$35),0))</f>
        <v>1</v>
      </c>
      <c r="X18" s="14" t="n">
        <f aca="false">IF((X15+X16)&lt;=Assumptions!$C$33*Assumptions!$B$6*X17*Assumptions!$B$35,0,ROUNDUP(X16/(Assumptions!$C$34*Assumptions!$B$6*Assumptions!$B$35),0))</f>
        <v>1</v>
      </c>
      <c r="Y18" s="14" t="n">
        <f aca="false">IF((Y15+Y16)&lt;=Assumptions!$C$33*Assumptions!$B$6*Y17*Assumptions!$B$35,0,ROUNDUP(Y16/(Assumptions!$C$34*Assumptions!$B$6*Assumptions!$B$35),0))</f>
        <v>1</v>
      </c>
      <c r="Z18" s="14" t="n">
        <f aca="false">IF((Z15+Z16)&lt;=Assumptions!$C$33*Assumptions!$B$6*Z17*Assumptions!$B$35,0,ROUNDUP(Z16/(Assumptions!$C$34*Assumptions!$B$6*Assumptions!$B$35),0))</f>
        <v>1</v>
      </c>
      <c r="AA18" s="14" t="n">
        <f aca="false">IF((AA15+AA16)&lt;=Assumptions!$C$33*Assumptions!$B$6*AA17*Assumptions!$B$35,0,ROUNDUP(AA16/(Assumptions!$C$34*Assumptions!$B$6*Assumptions!$B$35),0))</f>
        <v>1</v>
      </c>
      <c r="AB18" s="14" t="n">
        <f aca="false">IF((AB15+AB16)&lt;=Assumptions!$C$33*Assumptions!$B$6*AB17*Assumptions!$B$35,0,ROUNDUP(AB16/(Assumptions!$C$34*Assumptions!$B$6*Assumptions!$B$35),0))</f>
        <v>1</v>
      </c>
      <c r="AC18" s="14" t="n">
        <f aca="false">IF((AC15+AC16)&lt;=Assumptions!$C$33*Assumptions!$B$6*AC17*Assumptions!$B$35,0,ROUNDUP(AC16/(Assumptions!$C$34*Assumptions!$B$6*Assumptions!$B$35),0))</f>
        <v>2</v>
      </c>
      <c r="AD18" s="14" t="n">
        <f aca="false">IF((AD15+AD16)&lt;=Assumptions!$C$33*Assumptions!$B$6*AD17*Assumptions!$B$35,0,ROUNDUP(AD16/(Assumptions!$C$34*Assumptions!$B$6*Assumptions!$B$35),0))</f>
        <v>2</v>
      </c>
      <c r="AE18" s="14" t="n">
        <f aca="false">IF((AE15+AE16)&lt;=Assumptions!$C$33*Assumptions!$B$6*AE17*Assumptions!$B$35,0,ROUNDUP(AE16/(Assumptions!$C$34*Assumptions!$B$6*Assumptions!$B$35),0))</f>
        <v>2</v>
      </c>
      <c r="AF18" s="14" t="n">
        <f aca="false">IF((AF15+AF16)&lt;=Assumptions!$C$33*Assumptions!$B$6*AF17*Assumptions!$B$35,0,ROUNDUP(AF16/(Assumptions!$C$34*Assumptions!$B$6*Assumptions!$B$35),0))</f>
        <v>2</v>
      </c>
      <c r="AG18" s="14" t="n">
        <f aca="false">IF((AG15+AG16)&lt;=Assumptions!$C$33*Assumptions!$B$6*AG17*Assumptions!$B$35,0,ROUNDUP(AG16/(Assumptions!$C$34*Assumptions!$B$6*Assumptions!$B$35),0))</f>
        <v>2</v>
      </c>
      <c r="AH18" s="14" t="n">
        <f aca="false">IF((AH15+AH16)&lt;=Assumptions!$C$33*Assumptions!$B$6*AH17*Assumptions!$B$35,0,ROUNDUP(AH16/(Assumptions!$C$34*Assumptions!$B$6*Assumptions!$B$35),0))</f>
        <v>2</v>
      </c>
      <c r="AI18" s="14" t="n">
        <f aca="false">IF((AI15+AI16)&lt;=Assumptions!$C$33*Assumptions!$B$6*AI17*Assumptions!$B$35,0,ROUNDUP(AI16/(Assumptions!$C$34*Assumptions!$B$6*Assumptions!$B$35),0))</f>
        <v>2</v>
      </c>
      <c r="AJ18" s="14" t="n">
        <f aca="false">IF((AJ15+AJ16)&lt;=Assumptions!$C$33*Assumptions!$B$6*AJ17*Assumptions!$B$35,0,ROUNDUP(AJ16/(Assumptions!$C$34*Assumptions!$B$6*Assumptions!$B$35),0))</f>
        <v>2</v>
      </c>
      <c r="AK18" s="14" t="n">
        <f aca="false">IF((AK15+AK16)&lt;=Assumptions!$C$33*Assumptions!$B$6*AK17*Assumptions!$B$35,0,ROUNDUP(AK16/(Assumptions!$C$34*Assumptions!$B$6*Assumptions!$B$35),0))</f>
        <v>2</v>
      </c>
      <c r="AL18" s="14" t="n">
        <f aca="false">IF((AL15+AL16)&lt;=Assumptions!$C$33*Assumptions!$B$6*AL17*Assumptions!$B$35,0,ROUNDUP(AL16/(Assumptions!$C$34*Assumptions!$B$6*Assumptions!$B$35),0))</f>
        <v>2</v>
      </c>
      <c r="AM18" s="14" t="n">
        <f aca="false">IF((AM15+AM16)&lt;=Assumptions!$C$33*Assumptions!$B$6*AM17*Assumptions!$B$35,0,ROUNDUP(AM16/(Assumptions!$C$34*Assumptions!$B$6*Assumptions!$B$35),0))</f>
        <v>2</v>
      </c>
      <c r="AN18" s="14" t="n">
        <f aca="false">IF((AN15+AN16)&lt;=Assumptions!$C$33*Assumptions!$B$6*AN17*Assumptions!$B$35,0,ROUNDUP(AN16/(Assumptions!$C$34*Assumptions!$B$6*Assumptions!$B$35),0))</f>
        <v>2</v>
      </c>
      <c r="AO18" s="14" t="n">
        <f aca="false">IF((AO15+AO16)&lt;=Assumptions!$C$33*Assumptions!$B$6*AO17*Assumptions!$B$35,0,ROUNDUP(AO16/(Assumptions!$C$34*Assumptions!$B$6*Assumptions!$B$35),0))</f>
        <v>2</v>
      </c>
      <c r="AP18" s="14" t="n">
        <f aca="false">IF((AP15+AP16)&lt;=Assumptions!$C$33*Assumptions!$B$6*AP17*Assumptions!$B$35,0,ROUNDUP(AP16/(Assumptions!$C$34*Assumptions!$B$6*Assumptions!$B$35),0))</f>
        <v>2</v>
      </c>
      <c r="AQ18" s="14" t="n">
        <f aca="false">IF((AQ15+AQ16)&lt;=Assumptions!$C$33*Assumptions!$B$6*AQ17*Assumptions!$B$35,0,ROUNDUP(AQ16/(Assumptions!$C$34*Assumptions!$B$6*Assumptions!$B$35),0))</f>
        <v>3</v>
      </c>
      <c r="AR18" s="14" t="n">
        <f aca="false">IF((AR15+AR16)&lt;=Assumptions!$C$33*Assumptions!$B$6*AR17*Assumptions!$B$35,0,ROUNDUP(AR16/(Assumptions!$C$34*Assumptions!$B$6*Assumptions!$B$35),0))</f>
        <v>3</v>
      </c>
      <c r="AS18" s="14" t="n">
        <f aca="false">IF((AS15+AS16)&lt;=Assumptions!$C$33*Assumptions!$B$6*AS17*Assumptions!$B$35,0,ROUNDUP(AS16/(Assumptions!$C$34*Assumptions!$B$6*Assumptions!$B$35),0))</f>
        <v>3</v>
      </c>
      <c r="AT18" s="14" t="n">
        <f aca="false">IF((AT15+AT16)&lt;=Assumptions!$C$33*Assumptions!$B$6*AT17*Assumptions!$B$35,0,ROUNDUP(AT16/(Assumptions!$C$34*Assumptions!$B$6*Assumptions!$B$35),0))</f>
        <v>3</v>
      </c>
      <c r="AU18" s="14" t="n">
        <f aca="false">IF((AU15+AU16)&lt;=Assumptions!$C$33*Assumptions!$B$6*AU17*Assumptions!$B$35,0,ROUNDUP(AU16/(Assumptions!$C$34*Assumptions!$B$6*Assumptions!$B$35),0))</f>
        <v>3</v>
      </c>
      <c r="AV18" s="14" t="n">
        <f aca="false">IF((AV15+AV16)&lt;=Assumptions!$C$33*Assumptions!$B$6*AV17*Assumptions!$B$35,0,ROUNDUP(AV16/(Assumptions!$C$34*Assumptions!$B$6*Assumptions!$B$35),0))</f>
        <v>3</v>
      </c>
      <c r="AW18" s="14" t="n">
        <f aca="false">IF((AW15+AW16)&lt;=Assumptions!$C$33*Assumptions!$B$6*AW17*Assumptions!$B$35,0,ROUNDUP(AW16/(Assumptions!$C$34*Assumptions!$B$6*Assumptions!$B$35),0))</f>
        <v>3</v>
      </c>
      <c r="AX18" s="14" t="n">
        <f aca="false">IF((AX15+AX16)&lt;=Assumptions!$C$33*Assumptions!$B$6*AX17*Assumptions!$B$35,0,ROUNDUP(AX16/(Assumptions!$C$34*Assumptions!$B$6*Assumptions!$B$35),0))</f>
        <v>3</v>
      </c>
      <c r="AY18" s="14" t="n">
        <f aca="false">IF((AY15+AY16)&lt;=Assumptions!$C$33*Assumptions!$B$6*AY17*Assumptions!$B$35,0,ROUNDUP(AY16/(Assumptions!$C$34*Assumptions!$B$6*Assumptions!$B$35),0))</f>
        <v>3</v>
      </c>
      <c r="AZ18" s="14" t="n">
        <f aca="false">IF((AZ15+AZ16)&lt;=Assumptions!$C$33*Assumptions!$B$6*AZ17*Assumptions!$B$35,0,ROUNDUP(AZ16/(Assumptions!$C$34*Assumptions!$B$6*Assumptions!$B$35),0))</f>
        <v>3</v>
      </c>
      <c r="BA18" s="14" t="n">
        <f aca="false">IF((BA15+BA16)&lt;=Assumptions!$C$33*Assumptions!$B$6*BA17*Assumptions!$B$35,0,ROUNDUP(BA16/(Assumptions!$C$34*Assumptions!$B$6*Assumptions!$B$35),0))</f>
        <v>3</v>
      </c>
      <c r="BB18" s="14" t="n">
        <f aca="false">IF((BB15+BB16)&lt;=Assumptions!$C$33*Assumptions!$B$6*BB17*Assumptions!$B$35,0,ROUNDUP(BB16/(Assumptions!$C$34*Assumptions!$B$6*Assumptions!$B$35),0))</f>
        <v>4</v>
      </c>
      <c r="BC18" s="14" t="n">
        <f aca="false">IF((BC15+BC16)&lt;=Assumptions!$C$33*Assumptions!$B$6*BC17*Assumptions!$B$35,0,ROUNDUP(BC16/(Assumptions!$C$34*Assumptions!$B$6*Assumptions!$B$35),0))</f>
        <v>4</v>
      </c>
      <c r="BD18" s="14" t="n">
        <f aca="false">IF((BD15+BD16)&lt;=Assumptions!$C$33*Assumptions!$B$6*BD17*Assumptions!$B$35,0,ROUNDUP(BD16/(Assumptions!$C$34*Assumptions!$B$6*Assumptions!$B$35),0))</f>
        <v>4</v>
      </c>
      <c r="BE18" s="14" t="n">
        <f aca="false">IF((BE15+BE16)&lt;=Assumptions!$C$33*Assumptions!$B$6*BE17*Assumptions!$B$35,0,ROUNDUP(BE16/(Assumptions!$C$34*Assumptions!$B$6*Assumptions!$B$35),0))</f>
        <v>4</v>
      </c>
      <c r="BF18" s="14" t="n">
        <f aca="false">IF((BF15+BF16)&lt;=Assumptions!$C$33*Assumptions!$B$6*BF17*Assumptions!$B$35,0,ROUNDUP(BF16/(Assumptions!$C$34*Assumptions!$B$6*Assumptions!$B$35),0))</f>
        <v>4</v>
      </c>
      <c r="BG18" s="14" t="n">
        <f aca="false">IF((BG15+BG16)&lt;=Assumptions!$C$33*Assumptions!$B$6*BG17*Assumptions!$B$35,0,ROUNDUP(BG16/(Assumptions!$C$34*Assumptions!$B$6*Assumptions!$B$35),0))</f>
        <v>4</v>
      </c>
      <c r="BH18" s="14" t="n">
        <f aca="false">IF((BH15+BH16)&lt;=Assumptions!$C$33*Assumptions!$B$6*BH17*Assumptions!$B$35,0,ROUNDUP(BH16/(Assumptions!$C$34*Assumptions!$B$6*Assumptions!$B$35),0))</f>
        <v>4</v>
      </c>
      <c r="BI18" s="14" t="n">
        <f aca="false">IF((BI15+BI16)&lt;=Assumptions!$C$33*Assumptions!$B$6*BI17*Assumptions!$B$35,0,ROUNDUP(BI16/(Assumptions!$C$34*Assumptions!$B$6*Assumptions!$B$35),0))</f>
        <v>4</v>
      </c>
    </row>
    <row r="20" customFormat="false" ht="15" hidden="false" customHeight="true" outlineLevel="0" collapsed="false">
      <c r="A20" s="4" t="s">
        <v>95</v>
      </c>
    </row>
    <row r="21" customFormat="false" ht="15" hidden="false" customHeight="true" outlineLevel="0" collapsed="false">
      <c r="A21" s="5" t="s">
        <v>96</v>
      </c>
      <c r="B21" s="10" t="n">
        <f aca="false">Assumptions!$B$25+Assumptions!$B$28+Assumptions!$B$30</f>
        <v>1024700</v>
      </c>
      <c r="C21" s="10" t="n">
        <f aca="false">Assumptions!$B$25+Assumptions!$B$28+Assumptions!$B$30</f>
        <v>1024700</v>
      </c>
      <c r="D21" s="10" t="n">
        <f aca="false">D17*(Assumptions!$B$23+Assumptions!$B$28+Assumptions!$B$30)</f>
        <v>1564700</v>
      </c>
      <c r="E21" s="10" t="n">
        <f aca="false">E17*(Assumptions!$B$23+Assumptions!$B$28+Assumptions!$B$30)</f>
        <v>1564700</v>
      </c>
      <c r="F21" s="10" t="n">
        <f aca="false">F17*(Assumptions!$B$23+Assumptions!$B$28+Assumptions!$B$30)</f>
        <v>1564700</v>
      </c>
      <c r="G21" s="10" t="n">
        <f aca="false">G17*(Assumptions!$B$23+Assumptions!$B$28+Assumptions!$B$30)</f>
        <v>1564700</v>
      </c>
      <c r="H21" s="10" t="n">
        <f aca="false">H17*(Assumptions!$B$23+Assumptions!$B$28+Assumptions!$B$30)</f>
        <v>1564700</v>
      </c>
      <c r="I21" s="10" t="n">
        <f aca="false">I17*(Assumptions!$B$23+Assumptions!$B$28+Assumptions!$B$30)</f>
        <v>1564700</v>
      </c>
      <c r="J21" s="10" t="n">
        <f aca="false">J17*(Assumptions!$B$23+Assumptions!$B$28+Assumptions!$B$30)</f>
        <v>1564700</v>
      </c>
      <c r="K21" s="10" t="n">
        <f aca="false">K17*(Assumptions!$B$23+Assumptions!$B$28+Assumptions!$B$30)</f>
        <v>1564700</v>
      </c>
      <c r="L21" s="10" t="n">
        <f aca="false">L17*(Assumptions!$B$23+Assumptions!$B$28+Assumptions!$B$30)</f>
        <v>1564700</v>
      </c>
      <c r="M21" s="10" t="n">
        <f aca="false">M17*(Assumptions!$B$23+Assumptions!$B$28+Assumptions!$B$30)</f>
        <v>1564700</v>
      </c>
      <c r="N21" s="10" t="n">
        <f aca="false">N17*(Assumptions!$B$23+Assumptions!$B$28+Assumptions!$B$30)</f>
        <v>1564700</v>
      </c>
      <c r="O21" s="10" t="n">
        <f aca="false">O17*(Assumptions!$B$23+Assumptions!$B$28+Assumptions!$B$30)</f>
        <v>1564700</v>
      </c>
      <c r="P21" s="10" t="n">
        <f aca="false">P17*(Assumptions!$B$23+Assumptions!$B$28+Assumptions!$B$30)</f>
        <v>1564700</v>
      </c>
      <c r="Q21" s="10" t="n">
        <f aca="false">Q17*(Assumptions!$B$23+Assumptions!$B$28+Assumptions!$B$30)</f>
        <v>1564700</v>
      </c>
      <c r="R21" s="10" t="n">
        <f aca="false">R17*(Assumptions!$B$23+Assumptions!$B$28+Assumptions!$B$30)</f>
        <v>1564700</v>
      </c>
      <c r="S21" s="10" t="n">
        <f aca="false">S17*(Assumptions!$B$23+Assumptions!$B$28+Assumptions!$B$30)</f>
        <v>1564700</v>
      </c>
      <c r="T21" s="10" t="n">
        <f aca="false">T17*(Assumptions!$B$23+Assumptions!$B$28+Assumptions!$B$30)</f>
        <v>1564700</v>
      </c>
      <c r="U21" s="10" t="n">
        <f aca="false">U17*(Assumptions!$B$23+Assumptions!$B$28+Assumptions!$B$30)</f>
        <v>1564700</v>
      </c>
      <c r="V21" s="10" t="n">
        <f aca="false">V17*(Assumptions!$B$23+Assumptions!$B$28+Assumptions!$B$30)</f>
        <v>1564700</v>
      </c>
      <c r="W21" s="10" t="n">
        <f aca="false">W17*(Assumptions!$B$23+Assumptions!$B$28+Assumptions!$B$30)</f>
        <v>1564700</v>
      </c>
      <c r="X21" s="10" t="n">
        <f aca="false">X17*(Assumptions!$B$23+Assumptions!$B$28+Assumptions!$B$30)</f>
        <v>1564700</v>
      </c>
      <c r="Y21" s="10" t="n">
        <f aca="false">Y17*(Assumptions!$B$23+Assumptions!$B$28+Assumptions!$B$30)</f>
        <v>1564700</v>
      </c>
      <c r="Z21" s="10" t="n">
        <f aca="false">Z17*(Assumptions!$B$23+Assumptions!$B$28+Assumptions!$B$30)</f>
        <v>3129400</v>
      </c>
      <c r="AA21" s="10" t="n">
        <f aca="false">AA17*(Assumptions!$B$23+Assumptions!$B$28+Assumptions!$B$30)</f>
        <v>3129400</v>
      </c>
      <c r="AB21" s="10" t="n">
        <f aca="false">AB17*(Assumptions!$B$23+Assumptions!$B$28+Assumptions!$B$30)</f>
        <v>3129400</v>
      </c>
      <c r="AC21" s="10" t="n">
        <f aca="false">AC17*(Assumptions!$B$23+Assumptions!$B$28+Assumptions!$B$30)</f>
        <v>3129400</v>
      </c>
      <c r="AD21" s="10" t="n">
        <f aca="false">AD17*(Assumptions!$B$23+Assumptions!$B$28+Assumptions!$B$30)</f>
        <v>3129400</v>
      </c>
      <c r="AE21" s="10" t="n">
        <f aca="false">AE17*(Assumptions!$B$23+Assumptions!$B$28+Assumptions!$B$30)</f>
        <v>3129400</v>
      </c>
      <c r="AF21" s="10" t="n">
        <f aca="false">AF17*(Assumptions!$B$23+Assumptions!$B$28+Assumptions!$B$30)</f>
        <v>3129400</v>
      </c>
      <c r="AG21" s="10" t="n">
        <f aca="false">AG17*(Assumptions!$B$23+Assumptions!$B$28+Assumptions!$B$30)</f>
        <v>3129400</v>
      </c>
      <c r="AH21" s="10" t="n">
        <f aca="false">AH17*(Assumptions!$B$23+Assumptions!$B$28+Assumptions!$B$30)</f>
        <v>3129400</v>
      </c>
      <c r="AI21" s="10" t="n">
        <f aca="false">AI17*(Assumptions!$B$23+Assumptions!$B$28+Assumptions!$B$30)</f>
        <v>3129400</v>
      </c>
      <c r="AJ21" s="10" t="n">
        <f aca="false">AJ17*(Assumptions!$B$23+Assumptions!$B$28+Assumptions!$B$30)</f>
        <v>3129400</v>
      </c>
      <c r="AK21" s="10" t="n">
        <f aca="false">AK17*(Assumptions!$B$23+Assumptions!$B$28+Assumptions!$B$30)</f>
        <v>3129400</v>
      </c>
      <c r="AL21" s="10" t="n">
        <f aca="false">AL17*(Assumptions!$B$23+Assumptions!$B$28+Assumptions!$B$30)</f>
        <v>3129400</v>
      </c>
      <c r="AM21" s="10" t="n">
        <f aca="false">AM17*(Assumptions!$B$23+Assumptions!$B$28+Assumptions!$B$30)</f>
        <v>4694100</v>
      </c>
      <c r="AN21" s="10" t="n">
        <f aca="false">AN17*(Assumptions!$B$23+Assumptions!$B$28+Assumptions!$B$30)</f>
        <v>4694100</v>
      </c>
      <c r="AO21" s="10" t="n">
        <f aca="false">AO17*(Assumptions!$B$23+Assumptions!$B$28+Assumptions!$B$30)</f>
        <v>4694100</v>
      </c>
      <c r="AP21" s="10" t="n">
        <f aca="false">AP17*(Assumptions!$B$23+Assumptions!$B$28+Assumptions!$B$30)</f>
        <v>4694100</v>
      </c>
      <c r="AQ21" s="10" t="n">
        <f aca="false">AQ17*(Assumptions!$B$23+Assumptions!$B$28+Assumptions!$B$30)</f>
        <v>4694100</v>
      </c>
      <c r="AR21" s="10" t="n">
        <f aca="false">AR17*(Assumptions!$B$23+Assumptions!$B$28+Assumptions!$B$30)</f>
        <v>4694100</v>
      </c>
      <c r="AS21" s="10" t="n">
        <f aca="false">AS17*(Assumptions!$B$23+Assumptions!$B$28+Assumptions!$B$30)</f>
        <v>4694100</v>
      </c>
      <c r="AT21" s="10" t="n">
        <f aca="false">AT17*(Assumptions!$B$23+Assumptions!$B$28+Assumptions!$B$30)</f>
        <v>4694100</v>
      </c>
      <c r="AU21" s="10" t="n">
        <f aca="false">AU17*(Assumptions!$B$23+Assumptions!$B$28+Assumptions!$B$30)</f>
        <v>4694100</v>
      </c>
      <c r="AV21" s="10" t="n">
        <f aca="false">AV17*(Assumptions!$B$23+Assumptions!$B$28+Assumptions!$B$30)</f>
        <v>4694100</v>
      </c>
      <c r="AW21" s="10" t="n">
        <f aca="false">AW17*(Assumptions!$B$23+Assumptions!$B$28+Assumptions!$B$30)</f>
        <v>6258800</v>
      </c>
      <c r="AX21" s="10" t="n">
        <f aca="false">AX17*(Assumptions!$B$23+Assumptions!$B$28+Assumptions!$B$30)</f>
        <v>6258800</v>
      </c>
      <c r="AY21" s="10" t="n">
        <f aca="false">AY17*(Assumptions!$B$23+Assumptions!$B$28+Assumptions!$B$30)</f>
        <v>6258800</v>
      </c>
      <c r="AZ21" s="10" t="n">
        <f aca="false">AZ17*(Assumptions!$B$23+Assumptions!$B$28+Assumptions!$B$30)</f>
        <v>6258800</v>
      </c>
      <c r="BA21" s="10" t="n">
        <f aca="false">BA17*(Assumptions!$B$23+Assumptions!$B$28+Assumptions!$B$30)</f>
        <v>6258800</v>
      </c>
      <c r="BB21" s="10" t="n">
        <f aca="false">BB17*(Assumptions!$B$23+Assumptions!$B$28+Assumptions!$B$30)</f>
        <v>6258800</v>
      </c>
      <c r="BC21" s="10" t="n">
        <f aca="false">BC17*(Assumptions!$B$23+Assumptions!$B$28+Assumptions!$B$30)</f>
        <v>6258800</v>
      </c>
      <c r="BD21" s="10" t="n">
        <f aca="false">BD17*(Assumptions!$B$23+Assumptions!$B$28+Assumptions!$B$30)</f>
        <v>6258800</v>
      </c>
      <c r="BE21" s="10" t="n">
        <f aca="false">BE17*(Assumptions!$B$23+Assumptions!$B$28+Assumptions!$B$30)</f>
        <v>7823500</v>
      </c>
      <c r="BF21" s="10" t="n">
        <f aca="false">BF17*(Assumptions!$B$23+Assumptions!$B$28+Assumptions!$B$30)</f>
        <v>7823500</v>
      </c>
      <c r="BG21" s="10" t="n">
        <f aca="false">BG17*(Assumptions!$B$23+Assumptions!$B$28+Assumptions!$B$30)</f>
        <v>7823500</v>
      </c>
      <c r="BH21" s="10" t="n">
        <f aca="false">BH17*(Assumptions!$B$23+Assumptions!$B$28+Assumptions!$B$30)</f>
        <v>7823500</v>
      </c>
      <c r="BI21" s="10" t="n">
        <f aca="false">BI17*(Assumptions!$B$23+Assumptions!$B$28+Assumptions!$B$30)</f>
        <v>7823500</v>
      </c>
    </row>
    <row r="22" customFormat="false" ht="15" hidden="false" customHeight="true" outlineLevel="0" collapsed="false">
      <c r="A22" s="5" t="s">
        <v>97</v>
      </c>
      <c r="B22" s="10" t="n">
        <f aca="false">B18*(Assumptions!$B$27+Assumptions!$B$29)</f>
        <v>0</v>
      </c>
      <c r="C22" s="10" t="n">
        <f aca="false">C18*(Assumptions!$B$27+Assumptions!$B$29)</f>
        <v>0</v>
      </c>
      <c r="D22" s="10" t="n">
        <f aca="false">D18*(Assumptions!$B$27+Assumptions!$B$29)</f>
        <v>0</v>
      </c>
      <c r="E22" s="10" t="n">
        <f aca="false">E18*(Assumptions!$B$27+Assumptions!$B$29)</f>
        <v>0</v>
      </c>
      <c r="F22" s="10" t="n">
        <f aca="false">F18*(Assumptions!$B$27+Assumptions!$B$29)</f>
        <v>0</v>
      </c>
      <c r="G22" s="10" t="n">
        <f aca="false">G18*(Assumptions!$B$27+Assumptions!$B$29)</f>
        <v>0</v>
      </c>
      <c r="H22" s="10" t="n">
        <f aca="false">H18*(Assumptions!$B$27+Assumptions!$B$29)</f>
        <v>0</v>
      </c>
      <c r="I22" s="10" t="n">
        <f aca="false">I18*(Assumptions!$B$27+Assumptions!$B$29)</f>
        <v>0</v>
      </c>
      <c r="J22" s="10" t="n">
        <f aca="false">J18*(Assumptions!$B$27+Assumptions!$B$29)</f>
        <v>0</v>
      </c>
      <c r="K22" s="10" t="n">
        <f aca="false">K18*(Assumptions!$B$27+Assumptions!$B$29)</f>
        <v>638160</v>
      </c>
      <c r="L22" s="10" t="n">
        <f aca="false">L18*(Assumptions!$B$27+Assumptions!$B$29)</f>
        <v>638160</v>
      </c>
      <c r="M22" s="10" t="n">
        <f aca="false">M18*(Assumptions!$B$27+Assumptions!$B$29)</f>
        <v>638160</v>
      </c>
      <c r="N22" s="10" t="n">
        <f aca="false">N18*(Assumptions!$B$27+Assumptions!$B$29)</f>
        <v>638160</v>
      </c>
      <c r="O22" s="10" t="n">
        <f aca="false">O18*(Assumptions!$B$27+Assumptions!$B$29)</f>
        <v>638160</v>
      </c>
      <c r="P22" s="10" t="n">
        <f aca="false">P18*(Assumptions!$B$27+Assumptions!$B$29)</f>
        <v>638160</v>
      </c>
      <c r="Q22" s="10" t="n">
        <f aca="false">Q18*(Assumptions!$B$27+Assumptions!$B$29)</f>
        <v>638160</v>
      </c>
      <c r="R22" s="10" t="n">
        <f aca="false">R18*(Assumptions!$B$27+Assumptions!$B$29)</f>
        <v>638160</v>
      </c>
      <c r="S22" s="10" t="n">
        <f aca="false">S18*(Assumptions!$B$27+Assumptions!$B$29)</f>
        <v>638160</v>
      </c>
      <c r="T22" s="10" t="n">
        <f aca="false">T18*(Assumptions!$B$27+Assumptions!$B$29)</f>
        <v>638160</v>
      </c>
      <c r="U22" s="10" t="n">
        <f aca="false">U18*(Assumptions!$B$27+Assumptions!$B$29)</f>
        <v>638160</v>
      </c>
      <c r="V22" s="10" t="n">
        <f aca="false">V18*(Assumptions!$B$27+Assumptions!$B$29)</f>
        <v>638160</v>
      </c>
      <c r="W22" s="10" t="n">
        <f aca="false">W18*(Assumptions!$B$27+Assumptions!$B$29)</f>
        <v>638160</v>
      </c>
      <c r="X22" s="10" t="n">
        <f aca="false">X18*(Assumptions!$B$27+Assumptions!$B$29)</f>
        <v>638160</v>
      </c>
      <c r="Y22" s="10" t="n">
        <f aca="false">Y18*(Assumptions!$B$27+Assumptions!$B$29)</f>
        <v>638160</v>
      </c>
      <c r="Z22" s="10" t="n">
        <f aca="false">Z18*(Assumptions!$B$27+Assumptions!$B$29)</f>
        <v>638160</v>
      </c>
      <c r="AA22" s="10" t="n">
        <f aca="false">AA18*(Assumptions!$B$27+Assumptions!$B$29)</f>
        <v>638160</v>
      </c>
      <c r="AB22" s="10" t="n">
        <f aca="false">AB18*(Assumptions!$B$27+Assumptions!$B$29)</f>
        <v>638160</v>
      </c>
      <c r="AC22" s="10" t="n">
        <f aca="false">AC18*(Assumptions!$B$27+Assumptions!$B$29)</f>
        <v>1276320</v>
      </c>
      <c r="AD22" s="10" t="n">
        <f aca="false">AD18*(Assumptions!$B$27+Assumptions!$B$29)</f>
        <v>1276320</v>
      </c>
      <c r="AE22" s="10" t="n">
        <f aca="false">AE18*(Assumptions!$B$27+Assumptions!$B$29)</f>
        <v>1276320</v>
      </c>
      <c r="AF22" s="10" t="n">
        <f aca="false">AF18*(Assumptions!$B$27+Assumptions!$B$29)</f>
        <v>1276320</v>
      </c>
      <c r="AG22" s="10" t="n">
        <f aca="false">AG18*(Assumptions!$B$27+Assumptions!$B$29)</f>
        <v>1276320</v>
      </c>
      <c r="AH22" s="10" t="n">
        <f aca="false">AH18*(Assumptions!$B$27+Assumptions!$B$29)</f>
        <v>1276320</v>
      </c>
      <c r="AI22" s="10" t="n">
        <f aca="false">AI18*(Assumptions!$B$27+Assumptions!$B$29)</f>
        <v>1276320</v>
      </c>
      <c r="AJ22" s="10" t="n">
        <f aca="false">AJ18*(Assumptions!$B$27+Assumptions!$B$29)</f>
        <v>1276320</v>
      </c>
      <c r="AK22" s="10" t="n">
        <f aca="false">AK18*(Assumptions!$B$27+Assumptions!$B$29)</f>
        <v>1276320</v>
      </c>
      <c r="AL22" s="10" t="n">
        <f aca="false">AL18*(Assumptions!$B$27+Assumptions!$B$29)</f>
        <v>1276320</v>
      </c>
      <c r="AM22" s="10" t="n">
        <f aca="false">AM18*(Assumptions!$B$27+Assumptions!$B$29)</f>
        <v>1276320</v>
      </c>
      <c r="AN22" s="10" t="n">
        <f aca="false">AN18*(Assumptions!$B$27+Assumptions!$B$29)</f>
        <v>1276320</v>
      </c>
      <c r="AO22" s="10" t="n">
        <f aca="false">AO18*(Assumptions!$B$27+Assumptions!$B$29)</f>
        <v>1276320</v>
      </c>
      <c r="AP22" s="10" t="n">
        <f aca="false">AP18*(Assumptions!$B$27+Assumptions!$B$29)</f>
        <v>1276320</v>
      </c>
      <c r="AQ22" s="10" t="n">
        <f aca="false">AQ18*(Assumptions!$B$27+Assumptions!$B$29)</f>
        <v>1914480</v>
      </c>
      <c r="AR22" s="10" t="n">
        <f aca="false">AR18*(Assumptions!$B$27+Assumptions!$B$29)</f>
        <v>1914480</v>
      </c>
      <c r="AS22" s="10" t="n">
        <f aca="false">AS18*(Assumptions!$B$27+Assumptions!$B$29)</f>
        <v>1914480</v>
      </c>
      <c r="AT22" s="10" t="n">
        <f aca="false">AT18*(Assumptions!$B$27+Assumptions!$B$29)</f>
        <v>1914480</v>
      </c>
      <c r="AU22" s="10" t="n">
        <f aca="false">AU18*(Assumptions!$B$27+Assumptions!$B$29)</f>
        <v>1914480</v>
      </c>
      <c r="AV22" s="10" t="n">
        <f aca="false">AV18*(Assumptions!$B$27+Assumptions!$B$29)</f>
        <v>1914480</v>
      </c>
      <c r="AW22" s="10" t="n">
        <f aca="false">AW18*(Assumptions!$B$27+Assumptions!$B$29)</f>
        <v>1914480</v>
      </c>
      <c r="AX22" s="10" t="n">
        <f aca="false">AX18*(Assumptions!$B$27+Assumptions!$B$29)</f>
        <v>1914480</v>
      </c>
      <c r="AY22" s="10" t="n">
        <f aca="false">AY18*(Assumptions!$B$27+Assumptions!$B$29)</f>
        <v>1914480</v>
      </c>
      <c r="AZ22" s="10" t="n">
        <f aca="false">AZ18*(Assumptions!$B$27+Assumptions!$B$29)</f>
        <v>1914480</v>
      </c>
      <c r="BA22" s="10" t="n">
        <f aca="false">BA18*(Assumptions!$B$27+Assumptions!$B$29)</f>
        <v>1914480</v>
      </c>
      <c r="BB22" s="10" t="n">
        <f aca="false">BB18*(Assumptions!$B$27+Assumptions!$B$29)</f>
        <v>2552640</v>
      </c>
      <c r="BC22" s="10" t="n">
        <f aca="false">BC18*(Assumptions!$B$27+Assumptions!$B$29)</f>
        <v>2552640</v>
      </c>
      <c r="BD22" s="10" t="n">
        <f aca="false">BD18*(Assumptions!$B$27+Assumptions!$B$29)</f>
        <v>2552640</v>
      </c>
      <c r="BE22" s="10" t="n">
        <f aca="false">BE18*(Assumptions!$B$27+Assumptions!$B$29)</f>
        <v>2552640</v>
      </c>
      <c r="BF22" s="10" t="n">
        <f aca="false">BF18*(Assumptions!$B$27+Assumptions!$B$29)</f>
        <v>2552640</v>
      </c>
      <c r="BG22" s="10" t="n">
        <f aca="false">BG18*(Assumptions!$B$27+Assumptions!$B$29)</f>
        <v>2552640</v>
      </c>
      <c r="BH22" s="10" t="n">
        <f aca="false">BH18*(Assumptions!$B$27+Assumptions!$B$29)</f>
        <v>2552640</v>
      </c>
      <c r="BI22" s="10" t="n">
        <f aca="false">BI18*(Assumptions!$B$27+Assumptions!$B$29)</f>
        <v>2552640</v>
      </c>
    </row>
    <row r="23" customFormat="false" ht="15" hidden="false" customHeight="true" outlineLevel="0" collapsed="false">
      <c r="A23" s="5" t="s">
        <v>98</v>
      </c>
      <c r="B23" s="10" t="n">
        <f aca="false">Assumptions!$B$46</f>
        <v>146000</v>
      </c>
      <c r="C23" s="10" t="n">
        <f aca="false">Assumptions!$B$46</f>
        <v>146000</v>
      </c>
      <c r="D23" s="10" t="n">
        <f aca="false">Assumptions!$B$46</f>
        <v>146000</v>
      </c>
      <c r="E23" s="10" t="n">
        <f aca="false">Assumptions!$B$46</f>
        <v>146000</v>
      </c>
      <c r="F23" s="10" t="n">
        <f aca="false">Assumptions!$B$47</f>
        <v>547500</v>
      </c>
      <c r="G23" s="10" t="n">
        <f aca="false">Assumptions!$B$47</f>
        <v>547500</v>
      </c>
      <c r="H23" s="10" t="n">
        <f aca="false">Assumptions!$B$47</f>
        <v>547500</v>
      </c>
      <c r="I23" s="10" t="n">
        <f aca="false">Assumptions!$B$47</f>
        <v>547500</v>
      </c>
      <c r="J23" s="10" t="n">
        <f aca="false">Assumptions!$B$47</f>
        <v>547500</v>
      </c>
      <c r="K23" s="10" t="n">
        <f aca="false">Assumptions!$B$47</f>
        <v>547500</v>
      </c>
      <c r="L23" s="10" t="n">
        <f aca="false">Assumptions!$B$47</f>
        <v>547500</v>
      </c>
      <c r="M23" s="10" t="n">
        <f aca="false">Assumptions!$B$47</f>
        <v>547500</v>
      </c>
      <c r="N23" s="10" t="n">
        <f aca="false">Assumptions!$B$48</f>
        <v>1460000</v>
      </c>
      <c r="O23" s="10" t="n">
        <f aca="false">Assumptions!$B$48</f>
        <v>1460000</v>
      </c>
      <c r="P23" s="10" t="n">
        <f aca="false">Assumptions!$B$48</f>
        <v>1460000</v>
      </c>
      <c r="Q23" s="10" t="n">
        <f aca="false">Assumptions!$B$48</f>
        <v>1460000</v>
      </c>
      <c r="R23" s="10" t="n">
        <f aca="false">Assumptions!$B$48</f>
        <v>1460000</v>
      </c>
      <c r="S23" s="10" t="n">
        <f aca="false">Assumptions!$B$48</f>
        <v>1460000</v>
      </c>
      <c r="T23" s="10" t="n">
        <f aca="false">Assumptions!$B$48</f>
        <v>1460000</v>
      </c>
      <c r="U23" s="10" t="n">
        <f aca="false">Assumptions!$B$48</f>
        <v>1460000</v>
      </c>
      <c r="V23" s="10" t="n">
        <f aca="false">Assumptions!$B$48</f>
        <v>1460000</v>
      </c>
      <c r="W23" s="10" t="n">
        <f aca="false">Assumptions!$B$48</f>
        <v>1460000</v>
      </c>
      <c r="X23" s="10" t="n">
        <f aca="false">Assumptions!$B$48</f>
        <v>1460000</v>
      </c>
      <c r="Y23" s="10" t="n">
        <f aca="false">Assumptions!$B$48</f>
        <v>1460000</v>
      </c>
      <c r="Z23" s="10" t="n">
        <f aca="false">Z11*Assumptions!$B$49</f>
        <v>1056303</v>
      </c>
      <c r="AA23" s="10" t="n">
        <f aca="false">AA11*Assumptions!$B$49</f>
        <v>1116126</v>
      </c>
      <c r="AB23" s="10" t="n">
        <f aca="false">AB11*Assumptions!$B$49</f>
        <v>1175949</v>
      </c>
      <c r="AC23" s="10" t="n">
        <f aca="false">AC11*Assumptions!$B$49</f>
        <v>1234471.5</v>
      </c>
      <c r="AD23" s="10" t="n">
        <f aca="false">AD11*Assumptions!$B$49</f>
        <v>1234471.5</v>
      </c>
      <c r="AE23" s="10" t="n">
        <f aca="false">AE11*Assumptions!$B$49</f>
        <v>1234471.5</v>
      </c>
      <c r="AF23" s="10" t="n">
        <f aca="false">AF11*Assumptions!$B$49</f>
        <v>1234471.5</v>
      </c>
      <c r="AG23" s="10" t="n">
        <f aca="false">AG11*Assumptions!$B$49</f>
        <v>1234471.5</v>
      </c>
      <c r="AH23" s="10" t="n">
        <f aca="false">AH11*Assumptions!$B$49</f>
        <v>1234471.5</v>
      </c>
      <c r="AI23" s="10" t="n">
        <f aca="false">AI11*Assumptions!$B$49</f>
        <v>1234471.5</v>
      </c>
      <c r="AJ23" s="10" t="n">
        <f aca="false">AJ11*Assumptions!$B$49</f>
        <v>1234471.5</v>
      </c>
      <c r="AK23" s="10" t="n">
        <f aca="false">AK11*Assumptions!$B$49</f>
        <v>1234471.5</v>
      </c>
      <c r="AL23" s="10" t="n">
        <f aca="false">AL11*Assumptions!$B$49</f>
        <v>1862657.55</v>
      </c>
      <c r="AM23" s="10" t="n">
        <f aca="false">AM11*Assumptions!$B$49</f>
        <v>1913507.1</v>
      </c>
      <c r="AN23" s="10" t="n">
        <f aca="false">AN11*Assumptions!$B$49</f>
        <v>1964356.65</v>
      </c>
      <c r="AO23" s="10" t="n">
        <f aca="false">AO11*Assumptions!$B$49</f>
        <v>2014100.775</v>
      </c>
      <c r="AP23" s="10" t="n">
        <f aca="false">AP11*Assumptions!$B$49</f>
        <v>2014100.775</v>
      </c>
      <c r="AQ23" s="10" t="n">
        <f aca="false">AQ11*Assumptions!$B$49</f>
        <v>2014100.775</v>
      </c>
      <c r="AR23" s="10" t="n">
        <f aca="false">AR11*Assumptions!$B$49</f>
        <v>2014100.775</v>
      </c>
      <c r="AS23" s="10" t="n">
        <f aca="false">AS11*Assumptions!$B$49</f>
        <v>2014100.775</v>
      </c>
      <c r="AT23" s="10" t="n">
        <f aca="false">AT11*Assumptions!$B$49</f>
        <v>2014100.775</v>
      </c>
      <c r="AU23" s="10" t="n">
        <f aca="false">AU11*Assumptions!$B$49</f>
        <v>2014100.775</v>
      </c>
      <c r="AV23" s="10" t="n">
        <f aca="false">AV11*Assumptions!$B$49</f>
        <v>2014100.775</v>
      </c>
      <c r="AW23" s="10" t="n">
        <f aca="false">AW11*Assumptions!$B$49</f>
        <v>2014100.775</v>
      </c>
      <c r="AX23" s="10" t="n">
        <f aca="false">AX11*Assumptions!$B$49</f>
        <v>2877458.9175</v>
      </c>
      <c r="AY23" s="10" t="n">
        <f aca="false">AY11*Assumptions!$B$49</f>
        <v>2920681.035</v>
      </c>
      <c r="AZ23" s="10" t="n">
        <f aca="false">AZ11*Assumptions!$B$49</f>
        <v>2963903.1525</v>
      </c>
      <c r="BA23" s="10" t="n">
        <f aca="false">BA11*Assumptions!$B$49</f>
        <v>3006185.65875</v>
      </c>
      <c r="BB23" s="10" t="n">
        <f aca="false">BB11*Assumptions!$B$49</f>
        <v>3006185.65875</v>
      </c>
      <c r="BC23" s="10" t="n">
        <f aca="false">BC11*Assumptions!$B$49</f>
        <v>3006185.65875</v>
      </c>
      <c r="BD23" s="10" t="n">
        <f aca="false">BD11*Assumptions!$B$49</f>
        <v>3006185.65875</v>
      </c>
      <c r="BE23" s="10" t="n">
        <f aca="false">BE11*Assumptions!$B$49</f>
        <v>3006185.65875</v>
      </c>
      <c r="BF23" s="10" t="n">
        <f aca="false">BF11*Assumptions!$B$49</f>
        <v>3006185.65875</v>
      </c>
      <c r="BG23" s="10" t="n">
        <f aca="false">BG11*Assumptions!$B$49</f>
        <v>3006185.65875</v>
      </c>
      <c r="BH23" s="10" t="n">
        <f aca="false">BH11*Assumptions!$B$49</f>
        <v>3006185.65875</v>
      </c>
      <c r="BI23" s="10" t="n">
        <f aca="false">BI11*Assumptions!$B$49</f>
        <v>3006185.65875</v>
      </c>
    </row>
    <row r="24" customFormat="false" ht="15" hidden="false" customHeight="true" outlineLevel="0" collapsed="false">
      <c r="A24" s="5" t="s">
        <v>99</v>
      </c>
      <c r="B24" s="10" t="n">
        <f aca="false">Assumptions!$B$43</f>
        <v>378550</v>
      </c>
      <c r="C24" s="10" t="n">
        <f aca="false">Assumptions!$B$43</f>
        <v>378550</v>
      </c>
      <c r="D24" s="10" t="n">
        <f aca="false">Assumptions!$B$43</f>
        <v>378550</v>
      </c>
      <c r="E24" s="10" t="n">
        <f aca="false">Assumptions!$B$43</f>
        <v>378550</v>
      </c>
      <c r="F24" s="10" t="n">
        <f aca="false">Assumptions!$B$43</f>
        <v>378550</v>
      </c>
      <c r="G24" s="10" t="n">
        <f aca="false">Assumptions!$B$43</f>
        <v>378550</v>
      </c>
      <c r="H24" s="10" t="n">
        <f aca="false">Assumptions!$B$43</f>
        <v>378550</v>
      </c>
      <c r="I24" s="10" t="n">
        <f aca="false">Assumptions!$B$43</f>
        <v>378550</v>
      </c>
      <c r="J24" s="10" t="n">
        <f aca="false">Assumptions!$B$43</f>
        <v>378550</v>
      </c>
      <c r="K24" s="10" t="n">
        <f aca="false">Assumptions!$B$43</f>
        <v>378550</v>
      </c>
      <c r="L24" s="10" t="n">
        <f aca="false">Assumptions!$B$43</f>
        <v>378550</v>
      </c>
      <c r="M24" s="10" t="n">
        <f aca="false">Assumptions!$B$43</f>
        <v>378550</v>
      </c>
      <c r="N24" s="10" t="n">
        <f aca="false">Assumptions!$B$43</f>
        <v>378550</v>
      </c>
      <c r="O24" s="10" t="n">
        <f aca="false">Assumptions!$B$43</f>
        <v>378550</v>
      </c>
      <c r="P24" s="10" t="n">
        <f aca="false">Assumptions!$B$43</f>
        <v>378550</v>
      </c>
      <c r="Q24" s="10" t="n">
        <f aca="false">Assumptions!$B$43</f>
        <v>378550</v>
      </c>
      <c r="R24" s="10" t="n">
        <f aca="false">Assumptions!$B$43</f>
        <v>378550</v>
      </c>
      <c r="S24" s="10" t="n">
        <f aca="false">Assumptions!$B$43</f>
        <v>378550</v>
      </c>
      <c r="T24" s="10" t="n">
        <f aca="false">Assumptions!$B$43</f>
        <v>378550</v>
      </c>
      <c r="U24" s="10" t="n">
        <f aca="false">Assumptions!$B$43</f>
        <v>378550</v>
      </c>
      <c r="V24" s="10" t="n">
        <f aca="false">Assumptions!$B$43</f>
        <v>378550</v>
      </c>
      <c r="W24" s="10" t="n">
        <f aca="false">Assumptions!$B$43</f>
        <v>378550</v>
      </c>
      <c r="X24" s="10" t="n">
        <f aca="false">Assumptions!$B$43</f>
        <v>378550</v>
      </c>
      <c r="Y24" s="10" t="n">
        <f aca="false">Assumptions!$B$43</f>
        <v>378550</v>
      </c>
      <c r="Z24" s="10" t="n">
        <f aca="false">Assumptions!$B$43</f>
        <v>378550</v>
      </c>
      <c r="AA24" s="10" t="n">
        <f aca="false">Assumptions!$B$43</f>
        <v>378550</v>
      </c>
      <c r="AB24" s="10" t="n">
        <f aca="false">Assumptions!$B$43</f>
        <v>378550</v>
      </c>
      <c r="AC24" s="10" t="n">
        <f aca="false">Assumptions!$B$43</f>
        <v>378550</v>
      </c>
      <c r="AD24" s="10" t="n">
        <f aca="false">Assumptions!$B$43</f>
        <v>378550</v>
      </c>
      <c r="AE24" s="10" t="n">
        <f aca="false">Assumptions!$B$43</f>
        <v>378550</v>
      </c>
      <c r="AF24" s="10" t="n">
        <f aca="false">Assumptions!$B$43</f>
        <v>378550</v>
      </c>
      <c r="AG24" s="10" t="n">
        <f aca="false">Assumptions!$B$43</f>
        <v>378550</v>
      </c>
      <c r="AH24" s="10" t="n">
        <f aca="false">Assumptions!$B$43</f>
        <v>378550</v>
      </c>
      <c r="AI24" s="10" t="n">
        <f aca="false">Assumptions!$B$43</f>
        <v>378550</v>
      </c>
      <c r="AJ24" s="10" t="n">
        <f aca="false">Assumptions!$B$43</f>
        <v>378550</v>
      </c>
      <c r="AK24" s="10" t="n">
        <f aca="false">Assumptions!$B$43</f>
        <v>378550</v>
      </c>
      <c r="AL24" s="10" t="n">
        <f aca="false">Assumptions!$B$43</f>
        <v>378550</v>
      </c>
      <c r="AM24" s="10" t="n">
        <f aca="false">Assumptions!$B$43</f>
        <v>378550</v>
      </c>
      <c r="AN24" s="10" t="n">
        <f aca="false">Assumptions!$B$43</f>
        <v>378550</v>
      </c>
      <c r="AO24" s="10" t="n">
        <f aca="false">Assumptions!$B$43</f>
        <v>378550</v>
      </c>
      <c r="AP24" s="10" t="n">
        <f aca="false">Assumptions!$B$43</f>
        <v>378550</v>
      </c>
      <c r="AQ24" s="10" t="n">
        <f aca="false">Assumptions!$B$43</f>
        <v>378550</v>
      </c>
      <c r="AR24" s="10" t="n">
        <f aca="false">Assumptions!$B$43</f>
        <v>378550</v>
      </c>
      <c r="AS24" s="10" t="n">
        <f aca="false">Assumptions!$B$43</f>
        <v>378550</v>
      </c>
      <c r="AT24" s="10" t="n">
        <f aca="false">Assumptions!$B$43</f>
        <v>378550</v>
      </c>
      <c r="AU24" s="10" t="n">
        <f aca="false">Assumptions!$B$43</f>
        <v>378550</v>
      </c>
      <c r="AV24" s="10" t="n">
        <f aca="false">Assumptions!$B$43</f>
        <v>378550</v>
      </c>
      <c r="AW24" s="10" t="n">
        <f aca="false">Assumptions!$B$43</f>
        <v>378550</v>
      </c>
      <c r="AX24" s="10" t="n">
        <f aca="false">Assumptions!$B$43</f>
        <v>378550</v>
      </c>
      <c r="AY24" s="10" t="n">
        <f aca="false">Assumptions!$B$43</f>
        <v>378550</v>
      </c>
      <c r="AZ24" s="10" t="n">
        <f aca="false">Assumptions!$B$43</f>
        <v>378550</v>
      </c>
      <c r="BA24" s="10" t="n">
        <f aca="false">Assumptions!$B$43</f>
        <v>378550</v>
      </c>
      <c r="BB24" s="10" t="n">
        <f aca="false">Assumptions!$B$43</f>
        <v>378550</v>
      </c>
      <c r="BC24" s="10" t="n">
        <f aca="false">Assumptions!$B$43</f>
        <v>378550</v>
      </c>
      <c r="BD24" s="10" t="n">
        <f aca="false">Assumptions!$B$43</f>
        <v>378550</v>
      </c>
      <c r="BE24" s="10" t="n">
        <f aca="false">Assumptions!$B$43</f>
        <v>378550</v>
      </c>
      <c r="BF24" s="10" t="n">
        <f aca="false">Assumptions!$B$43</f>
        <v>378550</v>
      </c>
      <c r="BG24" s="10" t="n">
        <f aca="false">Assumptions!$B$43</f>
        <v>378550</v>
      </c>
      <c r="BH24" s="10" t="n">
        <f aca="false">Assumptions!$B$43</f>
        <v>378550</v>
      </c>
      <c r="BI24" s="10" t="n">
        <f aca="false">Assumptions!$B$43</f>
        <v>378550</v>
      </c>
    </row>
    <row r="25" customFormat="false" ht="15" hidden="false" customHeight="true" outlineLevel="0" collapsed="false">
      <c r="A25" s="5" t="s">
        <v>100</v>
      </c>
      <c r="B25" s="10" t="n">
        <f aca="false">Assumptions!$B$52+Assumptions!$B$53/2+Assumptions!$B$54/3</f>
        <v>1766666.66666667</v>
      </c>
      <c r="C25" s="10" t="n">
        <f aca="false">Assumptions!$B$53/2+Assumptions!$B$54/3</f>
        <v>766666.666666667</v>
      </c>
      <c r="D25" s="10" t="n">
        <f aca="false">Assumptions!$B$54/3</f>
        <v>166666.666666667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0" t="n">
        <v>0</v>
      </c>
      <c r="O25" s="10" t="n">
        <v>0</v>
      </c>
      <c r="P25" s="10" t="n">
        <v>0</v>
      </c>
      <c r="Q25" s="10" t="n">
        <v>0</v>
      </c>
      <c r="R25" s="10" t="n">
        <v>0</v>
      </c>
      <c r="S25" s="10" t="n">
        <v>0</v>
      </c>
      <c r="T25" s="10" t="n">
        <v>0</v>
      </c>
      <c r="U25" s="10" t="n">
        <v>0</v>
      </c>
      <c r="V25" s="10" t="n">
        <v>0</v>
      </c>
      <c r="W25" s="10" t="n">
        <v>0</v>
      </c>
      <c r="X25" s="10" t="n">
        <v>0</v>
      </c>
      <c r="Y25" s="10" t="n">
        <v>0</v>
      </c>
      <c r="Z25" s="10" t="n">
        <v>0</v>
      </c>
      <c r="AA25" s="10" t="n">
        <v>0</v>
      </c>
      <c r="AB25" s="10" t="n">
        <v>0</v>
      </c>
      <c r="AC25" s="10" t="n">
        <v>0</v>
      </c>
      <c r="AD25" s="10" t="n">
        <v>0</v>
      </c>
      <c r="AE25" s="10" t="n">
        <v>0</v>
      </c>
      <c r="AF25" s="10" t="n">
        <v>0</v>
      </c>
      <c r="AG25" s="10" t="n">
        <v>0</v>
      </c>
      <c r="AH25" s="10" t="n">
        <v>0</v>
      </c>
      <c r="AI25" s="10" t="n">
        <v>0</v>
      </c>
      <c r="AJ25" s="10" t="n">
        <v>0</v>
      </c>
      <c r="AK25" s="10" t="n">
        <v>0</v>
      </c>
      <c r="AL25" s="10" t="n">
        <v>0</v>
      </c>
      <c r="AM25" s="10" t="n">
        <v>0</v>
      </c>
      <c r="AN25" s="10" t="n">
        <v>0</v>
      </c>
      <c r="AO25" s="10" t="n">
        <v>0</v>
      </c>
      <c r="AP25" s="10" t="n">
        <v>0</v>
      </c>
      <c r="AQ25" s="10" t="n">
        <v>0</v>
      </c>
      <c r="AR25" s="10" t="n">
        <v>0</v>
      </c>
      <c r="AS25" s="10" t="n">
        <v>0</v>
      </c>
      <c r="AT25" s="10" t="n">
        <v>0</v>
      </c>
      <c r="AU25" s="10" t="n">
        <v>0</v>
      </c>
      <c r="AV25" s="10" t="n">
        <v>0</v>
      </c>
      <c r="AW25" s="10" t="n">
        <v>0</v>
      </c>
      <c r="AX25" s="10" t="n">
        <v>0</v>
      </c>
      <c r="AY25" s="10" t="n">
        <v>0</v>
      </c>
      <c r="AZ25" s="10" t="n">
        <v>0</v>
      </c>
      <c r="BA25" s="10" t="n">
        <v>0</v>
      </c>
      <c r="BB25" s="10" t="n">
        <v>0</v>
      </c>
      <c r="BC25" s="10" t="n">
        <v>0</v>
      </c>
      <c r="BD25" s="10" t="n">
        <v>0</v>
      </c>
      <c r="BE25" s="10" t="n">
        <v>0</v>
      </c>
      <c r="BF25" s="10" t="n">
        <v>0</v>
      </c>
      <c r="BG25" s="10" t="n">
        <v>0</v>
      </c>
      <c r="BH25" s="10" t="n">
        <v>0</v>
      </c>
      <c r="BI25" s="10" t="n">
        <v>0</v>
      </c>
    </row>
    <row r="26" customFormat="false" ht="15" hidden="false" customHeight="true" outlineLevel="0" collapsed="false">
      <c r="A26" s="5" t="s">
        <v>101</v>
      </c>
      <c r="B26" s="12" t="n">
        <f aca="false">SUM(B21:B25)+B12</f>
        <v>3340756.66666667</v>
      </c>
      <c r="C26" s="12" t="n">
        <f aca="false">SUM(C21:C25)+C12</f>
        <v>2365596.66666667</v>
      </c>
      <c r="D26" s="12" t="n">
        <f aca="false">SUM(D21:D25)+D12</f>
        <v>2330436.66666667</v>
      </c>
      <c r="E26" s="12" t="n">
        <f aca="false">SUM(E21:E25)+E12</f>
        <v>2188070</v>
      </c>
      <c r="F26" s="12" t="n">
        <f aca="false">SUM(F21:F25)+F12</f>
        <v>2589570</v>
      </c>
      <c r="G26" s="12" t="n">
        <f aca="false">SUM(G21:G25)+G12</f>
        <v>2589570</v>
      </c>
      <c r="H26" s="12" t="n">
        <f aca="false">SUM(H21:H25)+H12</f>
        <v>2589570</v>
      </c>
      <c r="I26" s="12" t="n">
        <f aca="false">SUM(I21:I25)+I12</f>
        <v>2589570</v>
      </c>
      <c r="J26" s="12" t="n">
        <f aca="false">SUM(J21:J25)+J12</f>
        <v>2589570</v>
      </c>
      <c r="K26" s="12" t="n">
        <f aca="false">SUM(K21:K25)+K12</f>
        <v>3227730</v>
      </c>
      <c r="L26" s="12" t="n">
        <f aca="false">SUM(L21:L25)+L12</f>
        <v>3227730</v>
      </c>
      <c r="M26" s="12" t="n">
        <f aca="false">SUM(M21:M25)+M12</f>
        <v>3227730</v>
      </c>
      <c r="N26" s="12" t="n">
        <f aca="false">SUM(N21:N25)+N12</f>
        <v>4179164</v>
      </c>
      <c r="O26" s="12" t="n">
        <f aca="false">SUM(O21:O25)+O12</f>
        <v>4200278</v>
      </c>
      <c r="P26" s="12" t="n">
        <f aca="false">SUM(P21:P25)+P12</f>
        <v>4221392</v>
      </c>
      <c r="Q26" s="12" t="n">
        <f aca="false">SUM(Q21:Q25)+Q12</f>
        <v>4242047</v>
      </c>
      <c r="R26" s="12" t="n">
        <f aca="false">SUM(R21:R25)+R12</f>
        <v>4242047</v>
      </c>
      <c r="S26" s="12" t="n">
        <f aca="false">SUM(S21:S25)+S12</f>
        <v>4242047</v>
      </c>
      <c r="T26" s="12" t="n">
        <f aca="false">SUM(T21:T25)+T12</f>
        <v>4242047</v>
      </c>
      <c r="U26" s="12" t="n">
        <f aca="false">SUM(U21:U25)+U12</f>
        <v>4242047</v>
      </c>
      <c r="V26" s="12" t="n">
        <f aca="false">SUM(V21:V25)+V12</f>
        <v>4242047</v>
      </c>
      <c r="W26" s="12" t="n">
        <f aca="false">SUM(W21:W25)+W12</f>
        <v>4242047</v>
      </c>
      <c r="X26" s="12" t="n">
        <f aca="false">SUM(X21:X25)+X12</f>
        <v>4242047</v>
      </c>
      <c r="Y26" s="12" t="n">
        <f aca="false">SUM(Y21:Y25)+Y12</f>
        <v>4242047</v>
      </c>
      <c r="Z26" s="12" t="n">
        <f aca="false">SUM(Z21:Z25)+Z12</f>
        <v>5519303.9</v>
      </c>
      <c r="AA26" s="12" t="n">
        <f aca="false">SUM(AA21:AA25)+AA12</f>
        <v>5597073.8</v>
      </c>
      <c r="AB26" s="12" t="n">
        <f aca="false">SUM(AB21:AB25)+AB12</f>
        <v>5674843.7</v>
      </c>
      <c r="AC26" s="12" t="n">
        <f aca="false">SUM(AC21:AC25)+AC12</f>
        <v>6389082.95</v>
      </c>
      <c r="AD26" s="12" t="n">
        <f aca="false">SUM(AD21:AD25)+AD12</f>
        <v>6389082.95</v>
      </c>
      <c r="AE26" s="12" t="n">
        <f aca="false">SUM(AE21:AE25)+AE12</f>
        <v>6389082.95</v>
      </c>
      <c r="AF26" s="12" t="n">
        <f aca="false">SUM(AF21:AF25)+AF12</f>
        <v>6389082.95</v>
      </c>
      <c r="AG26" s="12" t="n">
        <f aca="false">SUM(AG21:AG25)+AG12</f>
        <v>6389082.95</v>
      </c>
      <c r="AH26" s="12" t="n">
        <f aca="false">SUM(AH21:AH25)+AH12</f>
        <v>6389082.95</v>
      </c>
      <c r="AI26" s="12" t="n">
        <f aca="false">SUM(AI21:AI25)+AI12</f>
        <v>6389082.95</v>
      </c>
      <c r="AJ26" s="12" t="n">
        <f aca="false">SUM(AJ21:AJ25)+AJ12</f>
        <v>6389082.95</v>
      </c>
      <c r="AK26" s="12" t="n">
        <f aca="false">SUM(AK21:AK25)+AK12</f>
        <v>6389082.95</v>
      </c>
      <c r="AL26" s="12" t="n">
        <f aca="false">SUM(AL21:AL25)+AL12</f>
        <v>7205724.815</v>
      </c>
      <c r="AM26" s="12" t="n">
        <f aca="false">SUM(AM21:AM25)+AM12</f>
        <v>8836529.23</v>
      </c>
      <c r="AN26" s="12" t="n">
        <f aca="false">SUM(AN21:AN25)+AN12</f>
        <v>8902633.645</v>
      </c>
      <c r="AO26" s="12" t="n">
        <f aca="false">SUM(AO21:AO25)+AO12</f>
        <v>8967301.0075</v>
      </c>
      <c r="AP26" s="12" t="n">
        <f aca="false">SUM(AP21:AP25)+AP12</f>
        <v>8967301.0075</v>
      </c>
      <c r="AQ26" s="12" t="n">
        <f aca="false">SUM(AQ21:AQ25)+AQ12</f>
        <v>9605461.0075</v>
      </c>
      <c r="AR26" s="12" t="n">
        <f aca="false">SUM(AR21:AR25)+AR12</f>
        <v>9605461.0075</v>
      </c>
      <c r="AS26" s="12" t="n">
        <f aca="false">SUM(AS21:AS25)+AS12</f>
        <v>9605461.0075</v>
      </c>
      <c r="AT26" s="12" t="n">
        <f aca="false">SUM(AT21:AT25)+AT12</f>
        <v>9605461.0075</v>
      </c>
      <c r="AU26" s="12" t="n">
        <f aca="false">SUM(AU21:AU25)+AU12</f>
        <v>9605461.0075</v>
      </c>
      <c r="AV26" s="12" t="n">
        <f aca="false">SUM(AV21:AV25)+AV12</f>
        <v>9605461.0075</v>
      </c>
      <c r="AW26" s="12" t="n">
        <f aca="false">SUM(AW21:AW25)+AW12</f>
        <v>11170161.0075</v>
      </c>
      <c r="AX26" s="12" t="n">
        <f aca="false">SUM(AX21:AX25)+AX12</f>
        <v>12292526.59275</v>
      </c>
      <c r="AY26" s="12" t="n">
        <f aca="false">SUM(AY21:AY25)+AY12</f>
        <v>12348715.3455</v>
      </c>
      <c r="AZ26" s="12" t="n">
        <f aca="false">SUM(AZ21:AZ25)+AZ12</f>
        <v>12404904.09825</v>
      </c>
      <c r="BA26" s="12" t="n">
        <f aca="false">SUM(BA21:BA25)+BA12</f>
        <v>12459871.356375</v>
      </c>
      <c r="BB26" s="12" t="n">
        <f aca="false">SUM(BB21:BB25)+BB12</f>
        <v>13098031.356375</v>
      </c>
      <c r="BC26" s="12" t="n">
        <f aca="false">SUM(BC21:BC25)+BC12</f>
        <v>13098031.356375</v>
      </c>
      <c r="BD26" s="12" t="n">
        <f aca="false">SUM(BD21:BD25)+BD12</f>
        <v>13098031.356375</v>
      </c>
      <c r="BE26" s="12" t="n">
        <f aca="false">SUM(BE21:BE25)+BE12</f>
        <v>14662731.356375</v>
      </c>
      <c r="BF26" s="12" t="n">
        <f aca="false">SUM(BF21:BF25)+BF12</f>
        <v>14662731.356375</v>
      </c>
      <c r="BG26" s="12" t="n">
        <f aca="false">SUM(BG21:BG25)+BG12</f>
        <v>14662731.356375</v>
      </c>
      <c r="BH26" s="12" t="n">
        <f aca="false">SUM(BH21:BH25)+BH12</f>
        <v>14662731.356375</v>
      </c>
      <c r="BI26" s="12" t="n">
        <f aca="false">SUM(BI21:BI25)+BI12</f>
        <v>14662731.356375</v>
      </c>
    </row>
    <row r="28" customFormat="false" ht="15" hidden="false" customHeight="true" outlineLevel="0" collapsed="false">
      <c r="A28" s="5" t="s">
        <v>102</v>
      </c>
      <c r="B28" s="12" t="n">
        <f aca="false">B11-B26</f>
        <v>-2512756.66666667</v>
      </c>
      <c r="C28" s="12" t="n">
        <f aca="false">C11-C26</f>
        <v>-709596.666666667</v>
      </c>
      <c r="D28" s="12" t="n">
        <f aca="false">D11-D26</f>
        <v>153563.333333334</v>
      </c>
      <c r="E28" s="12" t="n">
        <f aca="false">E11-E26</f>
        <v>1105930</v>
      </c>
      <c r="F28" s="12" t="n">
        <f aca="false">F11-F26</f>
        <v>704430</v>
      </c>
      <c r="G28" s="12" t="n">
        <f aca="false">G11-G26</f>
        <v>704430</v>
      </c>
      <c r="H28" s="12" t="n">
        <f aca="false">H11-H26</f>
        <v>704430</v>
      </c>
      <c r="I28" s="12" t="n">
        <f aca="false">I11-I26</f>
        <v>704430</v>
      </c>
      <c r="J28" s="12" t="n">
        <f aca="false">J11-J26</f>
        <v>704430</v>
      </c>
      <c r="K28" s="12" t="n">
        <f aca="false">K11-K26</f>
        <v>66270</v>
      </c>
      <c r="L28" s="12" t="n">
        <f aca="false">L11-L26</f>
        <v>66270</v>
      </c>
      <c r="M28" s="12" t="n">
        <f aca="false">M11-M26</f>
        <v>66270</v>
      </c>
      <c r="N28" s="12" t="n">
        <f aca="false">N11-N26</f>
        <v>412636</v>
      </c>
      <c r="O28" s="12" t="n">
        <f aca="false">O11-O26</f>
        <v>1095322</v>
      </c>
      <c r="P28" s="12" t="n">
        <f aca="false">P11-P26</f>
        <v>1778008</v>
      </c>
      <c r="Q28" s="12" t="n">
        <f aca="false">Q11-Q26</f>
        <v>2445853</v>
      </c>
      <c r="R28" s="12" t="n">
        <f aca="false">R11-R26</f>
        <v>2445853</v>
      </c>
      <c r="S28" s="12" t="n">
        <f aca="false">S11-S26</f>
        <v>2445853</v>
      </c>
      <c r="T28" s="12" t="n">
        <f aca="false">T11-T26</f>
        <v>2445853</v>
      </c>
      <c r="U28" s="12" t="n">
        <f aca="false">U11-U26</f>
        <v>2445853</v>
      </c>
      <c r="V28" s="12" t="n">
        <f aca="false">V11-V26</f>
        <v>2445853</v>
      </c>
      <c r="W28" s="12" t="n">
        <f aca="false">W11-W26</f>
        <v>2445853</v>
      </c>
      <c r="X28" s="12" t="n">
        <f aca="false">X11-X26</f>
        <v>2445853</v>
      </c>
      <c r="Y28" s="12" t="n">
        <f aca="false">Y11-Y26</f>
        <v>2445853</v>
      </c>
      <c r="Z28" s="12" t="n">
        <f aca="false">Z11-Z26</f>
        <v>5043726.1</v>
      </c>
      <c r="AA28" s="12" t="n">
        <f aca="false">AA11-AA26</f>
        <v>5564186.2</v>
      </c>
      <c r="AB28" s="12" t="n">
        <f aca="false">AB11-AB26</f>
        <v>6084646.3</v>
      </c>
      <c r="AC28" s="12" t="n">
        <f aca="false">AC11-AC26</f>
        <v>5955632.05</v>
      </c>
      <c r="AD28" s="12" t="n">
        <f aca="false">AD11-AD26</f>
        <v>5955632.05</v>
      </c>
      <c r="AE28" s="12" t="n">
        <f aca="false">AE11-AE26</f>
        <v>5955632.05</v>
      </c>
      <c r="AF28" s="12" t="n">
        <f aca="false">AF11-AF26</f>
        <v>5955632.05</v>
      </c>
      <c r="AG28" s="12" t="n">
        <f aca="false">AG11-AG26</f>
        <v>5955632.05</v>
      </c>
      <c r="AH28" s="12" t="n">
        <f aca="false">AH11-AH26</f>
        <v>5955632.05</v>
      </c>
      <c r="AI28" s="12" t="n">
        <f aca="false">AI11-AI26</f>
        <v>5955632.05</v>
      </c>
      <c r="AJ28" s="12" t="n">
        <f aca="false">AJ11-AJ26</f>
        <v>5955632.05</v>
      </c>
      <c r="AK28" s="12" t="n">
        <f aca="false">AK11-AK26</f>
        <v>5955632.05</v>
      </c>
      <c r="AL28" s="12" t="n">
        <f aca="false">AL11-AL26</f>
        <v>11420850.685</v>
      </c>
      <c r="AM28" s="12" t="n">
        <f aca="false">AM11-AM26</f>
        <v>10298541.77</v>
      </c>
      <c r="AN28" s="12" t="n">
        <f aca="false">AN11-AN26</f>
        <v>10740932.855</v>
      </c>
      <c r="AO28" s="12" t="n">
        <f aca="false">AO11-AO26</f>
        <v>11173706.7425</v>
      </c>
      <c r="AP28" s="12" t="n">
        <f aca="false">AP11-AP26</f>
        <v>11173706.7425</v>
      </c>
      <c r="AQ28" s="12" t="n">
        <f aca="false">AQ11-AQ26</f>
        <v>10535546.7425</v>
      </c>
      <c r="AR28" s="12" t="n">
        <f aca="false">AR11-AR26</f>
        <v>10535546.7425</v>
      </c>
      <c r="AS28" s="12" t="n">
        <f aca="false">AS11-AS26</f>
        <v>10535546.7425</v>
      </c>
      <c r="AT28" s="12" t="n">
        <f aca="false">AT11-AT26</f>
        <v>10535546.7425</v>
      </c>
      <c r="AU28" s="12" t="n">
        <f aca="false">AU11-AU26</f>
        <v>10535546.7425</v>
      </c>
      <c r="AV28" s="12" t="n">
        <f aca="false">AV11-AV26</f>
        <v>10535546.7425</v>
      </c>
      <c r="AW28" s="12" t="n">
        <f aca="false">AW11-AW26</f>
        <v>8970846.7425</v>
      </c>
      <c r="AX28" s="12" t="n">
        <f aca="false">AX11-AX26</f>
        <v>16482062.58225</v>
      </c>
      <c r="AY28" s="12" t="n">
        <f aca="false">AY11-AY26</f>
        <v>16858095.0045</v>
      </c>
      <c r="AZ28" s="12" t="n">
        <f aca="false">AZ11-AZ26</f>
        <v>17234127.42675</v>
      </c>
      <c r="BA28" s="12" t="n">
        <f aca="false">BA11-BA26</f>
        <v>17601985.231125</v>
      </c>
      <c r="BB28" s="12" t="n">
        <f aca="false">BB11-BB26</f>
        <v>16963825.231125</v>
      </c>
      <c r="BC28" s="12" t="n">
        <f aca="false">BC11-BC26</f>
        <v>16963825.231125</v>
      </c>
      <c r="BD28" s="12" t="n">
        <f aca="false">BD11-BD26</f>
        <v>16963825.231125</v>
      </c>
      <c r="BE28" s="12" t="n">
        <f aca="false">BE11-BE26</f>
        <v>15399125.231125</v>
      </c>
      <c r="BF28" s="12" t="n">
        <f aca="false">BF11-BF26</f>
        <v>15399125.231125</v>
      </c>
      <c r="BG28" s="12" t="n">
        <f aca="false">BG11-BG26</f>
        <v>15399125.231125</v>
      </c>
      <c r="BH28" s="12" t="n">
        <f aca="false">BH11-BH26</f>
        <v>15399125.231125</v>
      </c>
      <c r="BI28" s="12" t="n">
        <f aca="false">BI11-BI26</f>
        <v>15399125.231125</v>
      </c>
    </row>
    <row r="30" customFormat="false" ht="15" hidden="false" customHeight="true" outlineLevel="0" collapsed="false">
      <c r="A30" s="3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6" min="2" style="1" width="16"/>
  </cols>
  <sheetData>
    <row r="1" customFormat="false" ht="15.75" hidden="false" customHeight="true" outlineLevel="0" collapsed="false">
      <c r="A1" s="2" t="s">
        <v>104</v>
      </c>
    </row>
    <row r="3" customFormat="false" ht="15" hidden="false" customHeight="true" outlineLevel="0" collapsed="false">
      <c r="A3" s="9"/>
      <c r="B3" s="9" t="s">
        <v>105</v>
      </c>
      <c r="C3" s="9" t="s">
        <v>106</v>
      </c>
      <c r="D3" s="9" t="s">
        <v>107</v>
      </c>
      <c r="E3" s="9" t="s">
        <v>108</v>
      </c>
      <c r="F3" s="9" t="s">
        <v>109</v>
      </c>
    </row>
    <row r="4" customFormat="false" ht="15" hidden="false" customHeight="true" outlineLevel="0" collapsed="false">
      <c r="A4" s="5" t="s">
        <v>110</v>
      </c>
      <c r="B4" s="14" t="n">
        <f aca="false">SUM('Monthly 5Y'!B5:M5)</f>
        <v>192.3</v>
      </c>
      <c r="C4" s="14" t="n">
        <f aca="false">SUM('Monthly 5Y'!N5:Y5)</f>
        <v>259.2</v>
      </c>
      <c r="D4" s="14" t="n">
        <f aca="false">SUM('Monthly 5Y'!Z5:AK5)</f>
        <v>444</v>
      </c>
      <c r="E4" s="14" t="n">
        <f aca="false">SUM('Monthly 5Y'!AL5:AW5)</f>
        <v>643.2</v>
      </c>
      <c r="F4" s="14" t="n">
        <f aca="false">SUM('Monthly 5Y'!AX5:BI5)</f>
        <v>862.8</v>
      </c>
    </row>
    <row r="5" customFormat="false" ht="15" hidden="false" customHeight="true" outlineLevel="0" collapsed="false">
      <c r="A5" s="5" t="s">
        <v>111</v>
      </c>
      <c r="B5" s="14" t="n">
        <f aca="false">SUM('Monthly 5Y'!B7:M7)</f>
        <v>192.3</v>
      </c>
      <c r="C5" s="14" t="n">
        <f aca="false">SUM('Monthly 5Y'!N7:Y7)</f>
        <v>422.655</v>
      </c>
      <c r="D5" s="14" t="n">
        <f aca="false">SUM('Monthly 5Y'!Z7:AK7)</f>
        <v>803.25675</v>
      </c>
      <c r="E5" s="14" t="n">
        <f aca="false">SUM('Monthly 5Y'!AL7:AW7)</f>
        <v>1325.9682375</v>
      </c>
      <c r="F5" s="14" t="n">
        <f aca="false">SUM('Monthly 5Y'!AX7:BI7)</f>
        <v>1989.873001875</v>
      </c>
    </row>
    <row r="6" customFormat="false" ht="15" hidden="false" customHeight="true" outlineLevel="0" collapsed="false">
      <c r="A6" s="5" t="s">
        <v>112</v>
      </c>
      <c r="B6" s="14" t="n">
        <f aca="false">'Monthly 5Y'!M8</f>
        <v>192.3</v>
      </c>
      <c r="C6" s="14" t="n">
        <f aca="false">'Monthly 5Y'!Y8</f>
        <v>422.655</v>
      </c>
      <c r="D6" s="14" t="n">
        <f aca="false">'Monthly 5Y'!AK8</f>
        <v>803.25675</v>
      </c>
      <c r="E6" s="14" t="n">
        <f aca="false">'Monthly 5Y'!AW8</f>
        <v>1325.9682375</v>
      </c>
      <c r="F6" s="14" t="n">
        <f aca="false">'Monthly 5Y'!BI8</f>
        <v>1989.873001875</v>
      </c>
    </row>
    <row r="7" customFormat="false" ht="15" hidden="false" customHeight="true" outlineLevel="0" collapsed="false">
      <c r="A7" s="5" t="s">
        <v>113</v>
      </c>
      <c r="B7" s="12" t="n">
        <f aca="false">SUM('Monthly 5Y'!B11:M11)</f>
        <v>34614000</v>
      </c>
      <c r="C7" s="12" t="n">
        <f aca="false">SUM('Monthly 5Y'!N11:Y11)</f>
        <v>76077900</v>
      </c>
      <c r="D7" s="12" t="n">
        <f aca="false">SUM('Monthly 5Y'!Z11:AK11)</f>
        <v>144586215</v>
      </c>
      <c r="E7" s="12" t="n">
        <f aca="false">SUM('Monthly 5Y'!AL11:AW11)</f>
        <v>238674282.75</v>
      </c>
      <c r="F7" s="12" t="n">
        <f aca="false">SUM('Monthly 5Y'!AX11:BI11)</f>
        <v>358177140.3375</v>
      </c>
    </row>
    <row r="8" customFormat="false" ht="15" hidden="false" customHeight="true" outlineLevel="0" collapsed="false">
      <c r="A8" s="5" t="s">
        <v>114</v>
      </c>
      <c r="B8" s="9" t="str">
        <f aca="false">IF(B7&gt;Assumptions!$B$8,"YES","no")</f>
        <v>no</v>
      </c>
      <c r="C8" s="9" t="str">
        <f aca="false">IF(C7&gt;Assumptions!$B$8,"YES","no")</f>
        <v>no</v>
      </c>
      <c r="D8" s="9" t="str">
        <f aca="false">IF(D7&gt;Assumptions!$B$8,"YES","no")</f>
        <v>YES</v>
      </c>
      <c r="E8" s="9" t="str">
        <f aca="false">IF(E7&gt;Assumptions!$B$8,"YES","no")</f>
        <v>YES</v>
      </c>
      <c r="F8" s="9" t="str">
        <f aca="false">IF(F7&gt;Assumptions!$B$8,"YES","no")</f>
        <v>YES</v>
      </c>
    </row>
    <row r="9" customFormat="false" ht="15" hidden="false" customHeight="true" outlineLevel="0" collapsed="false">
      <c r="A9" s="5" t="s">
        <v>115</v>
      </c>
      <c r="B9" s="5" t="str">
        <f aca="false">IF(B8="YES","VAT 20% + profit 18%","10% turnover")</f>
        <v>10% turnover</v>
      </c>
      <c r="C9" s="5" t="str">
        <f aca="false">IF(C8="YES","VAT 20% + profit 18%","10% turnover")</f>
        <v>10% turnover</v>
      </c>
      <c r="D9" s="5" t="str">
        <f aca="false">IF(D8="YES","VAT 20% + profit 18%","10% turnover")</f>
        <v>VAT 20% + profit 18%</v>
      </c>
      <c r="E9" s="5" t="str">
        <f aca="false">IF(E8="YES","VAT 20% + profit 18%","10% turnover")</f>
        <v>VAT 20% + profit 18%</v>
      </c>
      <c r="F9" s="5" t="str">
        <f aca="false">IF(F8="YES","VAT 20% + profit 18%","10% turnover")</f>
        <v>VAT 20% + profit 18%</v>
      </c>
    </row>
    <row r="10" customFormat="false" ht="15" hidden="false" customHeight="true" outlineLevel="0" collapsed="false">
      <c r="A10" s="5" t="s">
        <v>116</v>
      </c>
      <c r="B10" s="10" t="n">
        <f aca="false">SUM('Monthly 5Y'!B26:M26)</f>
        <v>32855900</v>
      </c>
      <c r="C10" s="10" t="n">
        <f aca="false">SUM('Monthly 5Y'!N26:Y26)</f>
        <v>50779257</v>
      </c>
      <c r="D10" s="10" t="n">
        <f aca="false">SUM('Monthly 5Y'!Z26:AK26)</f>
        <v>74292967.95</v>
      </c>
      <c r="E10" s="10" t="n">
        <f aca="false">SUM('Monthly 5Y'!AL26:AW26)</f>
        <v>111682416.7575</v>
      </c>
      <c r="F10" s="10" t="n">
        <f aca="false">SUM('Monthly 5Y'!AX26:BI26)</f>
        <v>162113768.243875</v>
      </c>
    </row>
    <row r="11" customFormat="false" ht="15" hidden="false" customHeight="true" outlineLevel="0" collapsed="false">
      <c r="A11" s="5" t="s">
        <v>117</v>
      </c>
      <c r="B11" s="10" t="n">
        <f aca="false">IF(B8="YES",B7-B7/(1+Assumptions!$B$9)+MAX(0,(B7/(1+Assumptions!$B$9)-B10))*Assumptions!$B$10,B7*Assumptions!$B$7)</f>
        <v>3461400</v>
      </c>
      <c r="C11" s="10" t="n">
        <f aca="false">IF(C8="YES",C7-C7/(1+Assumptions!$B$9)+MAX(0,(C7/(1+Assumptions!$B$9)-C10))*Assumptions!$B$10,C7*Assumptions!$B$7)</f>
        <v>7607790</v>
      </c>
      <c r="D11" s="10" t="n">
        <f aca="false">IF(D8="YES",D7-D7/(1+Assumptions!$B$9)+MAX(0,(D7/(1+Assumptions!$B$9)-D10))*Assumptions!$B$10,D7*Assumptions!$B$7)</f>
        <v>32412900.519</v>
      </c>
      <c r="E11" s="10" t="n">
        <f aca="false">IF(E8="YES",E7-E7/(1+Assumptions!$B$9)+MAX(0,(E7/(1+Assumptions!$B$9)-E10))*Assumptions!$B$10,E7*Assumptions!$B$7)</f>
        <v>55477354.52115</v>
      </c>
      <c r="F11" s="10" t="n">
        <f aca="false">IF(F8="YES",F7-F7/(1+Assumptions!$B$9)+MAX(0,(F7/(1+Assumptions!$B$9)-F10))*Assumptions!$B$10,F7*Assumptions!$B$7)</f>
        <v>84242282.8229775</v>
      </c>
      <c r="G11" s="3" t="s">
        <v>118</v>
      </c>
    </row>
    <row r="12" customFormat="false" ht="15" hidden="false" customHeight="true" outlineLevel="0" collapsed="false">
      <c r="A12" s="5" t="s">
        <v>119</v>
      </c>
      <c r="B12" s="12" t="n">
        <f aca="false">B7-B10-B11</f>
        <v>-1703300</v>
      </c>
      <c r="C12" s="12" t="n">
        <f aca="false">C7-C10-C11</f>
        <v>17690853</v>
      </c>
      <c r="D12" s="12" t="n">
        <f aca="false">D7-D10-D11</f>
        <v>37880346.531</v>
      </c>
      <c r="E12" s="12" t="n">
        <f aca="false">E7-E10-E11</f>
        <v>71514511.47135</v>
      </c>
      <c r="F12" s="12" t="n">
        <f aca="false">F7-F10-F11</f>
        <v>111821089.270647</v>
      </c>
    </row>
    <row r="13" customFormat="false" ht="15" hidden="false" customHeight="true" outlineLevel="0" collapsed="false">
      <c r="A13" s="5" t="s">
        <v>120</v>
      </c>
      <c r="B13" s="17" t="n">
        <f aca="false">B12/Assumptions!$B$5</f>
        <v>-4666.57534246575</v>
      </c>
      <c r="C13" s="17" t="n">
        <f aca="false">C12/Assumptions!$B$5</f>
        <v>48468.0904109589</v>
      </c>
      <c r="D13" s="17" t="n">
        <f aca="false">D12/Assumptions!$B$5</f>
        <v>103781.771317808</v>
      </c>
      <c r="E13" s="17" t="n">
        <f aca="false">E12/Assumptions!$B$5</f>
        <v>195930.168414658</v>
      </c>
      <c r="F13" s="17" t="n">
        <f aca="false">F12/Assumptions!$B$5</f>
        <v>306359.148686705</v>
      </c>
    </row>
    <row r="15" customFormat="false" ht="15" hidden="false" customHeight="true" outlineLevel="0" collapsed="false">
      <c r="A15" s="5" t="s">
        <v>121</v>
      </c>
      <c r="B15" s="18" t="n">
        <f aca="false">F6/Assumptions!$C$66</f>
        <v>0.132658200125</v>
      </c>
      <c r="C15" s="3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5"/>
  </cols>
  <sheetData>
    <row r="1" customFormat="false" ht="15.75" hidden="false" customHeight="true" outlineLevel="0" collapsed="false">
      <c r="A1" s="2" t="s">
        <v>123</v>
      </c>
    </row>
    <row r="3" customFormat="false" ht="15" hidden="false" customHeight="true" outlineLevel="0" collapsed="false">
      <c r="A3" s="5" t="s">
        <v>124</v>
      </c>
      <c r="B3" s="12" t="n">
        <f aca="false">(Assumptions!B23+Assumptions!B28+Assumptions!B30)/(Assumptions!B33*Assumptions!B6)</f>
        <v>24072.3076923077</v>
      </c>
    </row>
    <row r="4" customFormat="false" ht="15" hidden="false" customHeight="true" outlineLevel="0" collapsed="false">
      <c r="A4" s="5" t="s">
        <v>125</v>
      </c>
      <c r="B4" s="12" t="n">
        <f aca="false">(Assumptions!B27+Assumptions!B29)/(Assumptions!B34*Assumptions!B6)</f>
        <v>4090.76923076923</v>
      </c>
    </row>
    <row r="6" customFormat="false" ht="15" hidden="false" customHeight="true" outlineLevel="0" collapsed="false">
      <c r="A6" s="9"/>
      <c r="B6" s="9" t="s">
        <v>16</v>
      </c>
      <c r="C6" s="9" t="s">
        <v>18</v>
      </c>
      <c r="D6" s="9" t="s">
        <v>19</v>
      </c>
    </row>
    <row r="7" customFormat="false" ht="15" hidden="false" customHeight="true" outlineLevel="0" collapsed="false">
      <c r="A7" s="5" t="s">
        <v>12</v>
      </c>
      <c r="B7" s="10" t="n">
        <f aca="false">Assumptions!B13</f>
        <v>60000</v>
      </c>
      <c r="C7" s="10" t="n">
        <f aca="false">Assumptions!B14</f>
        <v>180000</v>
      </c>
      <c r="D7" s="10" t="n">
        <f aca="false">Assumptions!B15</f>
        <v>240000</v>
      </c>
    </row>
    <row r="8" customFormat="false" ht="15" hidden="false" customHeight="true" outlineLevel="0" collapsed="false">
      <c r="A8" s="5" t="s">
        <v>126</v>
      </c>
      <c r="B8" s="10" t="n">
        <f aca="false">B7*Assumptions!$B$7</f>
        <v>6000</v>
      </c>
      <c r="C8" s="10" t="n">
        <f aca="false">C7*Assumptions!$B$7</f>
        <v>18000</v>
      </c>
      <c r="D8" s="10" t="n">
        <f aca="false">D7*Assumptions!$B$7</f>
        <v>24000</v>
      </c>
    </row>
    <row r="9" customFormat="false" ht="15" hidden="false" customHeight="true" outlineLevel="0" collapsed="false">
      <c r="A9" s="5" t="s">
        <v>127</v>
      </c>
      <c r="B9" s="10" t="n">
        <f aca="false">Assumptions!C13*$B$3+Assumptions!D13*$B$4</f>
        <v>24072.3076923077</v>
      </c>
      <c r="C9" s="10" t="n">
        <f aca="false">Assumptions!C14*$B$3+Assumptions!D14*$B$4</f>
        <v>64507.6923076923</v>
      </c>
      <c r="D9" s="10" t="n">
        <f aca="false">Assumptions!C15*$B$3+Assumptions!D15*$B$4</f>
        <v>96761.5384615385</v>
      </c>
    </row>
    <row r="10" customFormat="false" ht="15" hidden="false" customHeight="true" outlineLevel="0" collapsed="false">
      <c r="A10" s="5" t="s">
        <v>128</v>
      </c>
      <c r="B10" s="12" t="n">
        <f aca="false">B7-B8-B9</f>
        <v>29927.6923076923</v>
      </c>
      <c r="C10" s="12" t="n">
        <f aca="false">C7-C8-C9</f>
        <v>97492.3076923077</v>
      </c>
      <c r="D10" s="12" t="n">
        <f aca="false">D7-D8-D9</f>
        <v>119238.461538462</v>
      </c>
    </row>
    <row r="11" customFormat="false" ht="15" hidden="false" customHeight="true" outlineLevel="0" collapsed="false">
      <c r="A11" s="5" t="s">
        <v>129</v>
      </c>
      <c r="B11" s="19" t="n">
        <f aca="false">B10/B7</f>
        <v>0.498794871794872</v>
      </c>
      <c r="C11" s="19" t="n">
        <f aca="false">C10/C7</f>
        <v>0.541623931623932</v>
      </c>
      <c r="D11" s="19" t="n">
        <f aca="false">D10/D7</f>
        <v>0.496826923076923</v>
      </c>
    </row>
    <row r="12" customFormat="false" ht="15" hidden="false" customHeight="true" outlineLevel="0" collapsed="false">
      <c r="A12" s="5" t="s">
        <v>130</v>
      </c>
      <c r="B12" s="20" t="n">
        <f aca="false">B7/Assumptions!$B$5/(Assumptions!C13+Assumptions!D13)</f>
        <v>164.383561643836</v>
      </c>
      <c r="C12" s="20" t="n">
        <f aca="false">C7/Assumptions!$B$5/(Assumptions!C14+Assumptions!D14)</f>
        <v>82.1917808219178</v>
      </c>
      <c r="D12" s="20" t="n">
        <f aca="false">D7/Assumptions!$B$5/(Assumptions!C15+Assumptions!D15)</f>
        <v>73.0593607305936</v>
      </c>
    </row>
    <row r="14" customFormat="false" ht="15" hidden="false" customHeight="true" outlineLevel="0" collapsed="false">
      <c r="A14" s="3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16"/>
    <col collapsed="false" customWidth="true" hidden="false" outlineLevel="0" max="3" min="3" style="1" width="14"/>
  </cols>
  <sheetData>
    <row r="1" customFormat="false" ht="15.75" hidden="false" customHeight="true" outlineLevel="0" collapsed="false">
      <c r="A1" s="2" t="s">
        <v>132</v>
      </c>
    </row>
    <row r="3" customFormat="false" ht="15" hidden="false" customHeight="true" outlineLevel="0" collapsed="false">
      <c r="A3" s="5" t="s">
        <v>133</v>
      </c>
      <c r="B3" s="12" t="n">
        <f aca="false">MIN(B4:BI4)</f>
        <v>-3222353.33333333</v>
      </c>
    </row>
    <row r="4" customFormat="false" ht="15" hidden="false" customHeight="true" outlineLevel="0" collapsed="false">
      <c r="A4" s="3" t="s">
        <v>134</v>
      </c>
      <c r="B4" s="10" t="n">
        <f aca="false">'Monthly 5Y'!B28</f>
        <v>-2512756.66666667</v>
      </c>
      <c r="C4" s="10" t="n">
        <f aca="false">B4+'Monthly 5Y'!C28</f>
        <v>-3222353.33333333</v>
      </c>
      <c r="D4" s="10" t="n">
        <f aca="false">C4+'Monthly 5Y'!D28</f>
        <v>-3068790</v>
      </c>
      <c r="E4" s="10" t="n">
        <f aca="false">D4+'Monthly 5Y'!E28</f>
        <v>-1962860</v>
      </c>
      <c r="F4" s="10" t="n">
        <f aca="false">E4+'Monthly 5Y'!F28</f>
        <v>-1258430</v>
      </c>
      <c r="G4" s="10" t="n">
        <f aca="false">F4+'Monthly 5Y'!G28</f>
        <v>-554000.000000001</v>
      </c>
      <c r="H4" s="10" t="n">
        <f aca="false">G4+'Monthly 5Y'!H28</f>
        <v>150430</v>
      </c>
      <c r="I4" s="10" t="n">
        <f aca="false">H4+'Monthly 5Y'!I28</f>
        <v>854860</v>
      </c>
      <c r="J4" s="10" t="n">
        <f aca="false">I4+'Monthly 5Y'!J28</f>
        <v>1559290</v>
      </c>
      <c r="K4" s="10" t="n">
        <f aca="false">J4+'Monthly 5Y'!K28</f>
        <v>1625560</v>
      </c>
      <c r="L4" s="10" t="n">
        <f aca="false">K4+'Monthly 5Y'!L28</f>
        <v>1691830</v>
      </c>
      <c r="M4" s="10" t="n">
        <f aca="false">L4+'Monthly 5Y'!M28</f>
        <v>1758100</v>
      </c>
      <c r="N4" s="10" t="n">
        <f aca="false">M4+'Monthly 5Y'!N28</f>
        <v>2170736</v>
      </c>
      <c r="O4" s="10" t="n">
        <f aca="false">N4+'Monthly 5Y'!O28</f>
        <v>3266058</v>
      </c>
      <c r="P4" s="10" t="n">
        <f aca="false">O4+'Monthly 5Y'!P28</f>
        <v>5044066</v>
      </c>
      <c r="Q4" s="10" t="n">
        <f aca="false">P4+'Monthly 5Y'!Q28</f>
        <v>7489919</v>
      </c>
      <c r="R4" s="10" t="n">
        <f aca="false">Q4+'Monthly 5Y'!R28</f>
        <v>9935772</v>
      </c>
      <c r="S4" s="10" t="n">
        <f aca="false">R4+'Monthly 5Y'!S28</f>
        <v>12381625</v>
      </c>
      <c r="T4" s="10" t="n">
        <f aca="false">S4+'Monthly 5Y'!T28</f>
        <v>14827478</v>
      </c>
      <c r="U4" s="10" t="n">
        <f aca="false">T4+'Monthly 5Y'!U28</f>
        <v>17273331</v>
      </c>
      <c r="V4" s="10" t="n">
        <f aca="false">U4+'Monthly 5Y'!V28</f>
        <v>19719184</v>
      </c>
      <c r="W4" s="10" t="n">
        <f aca="false">V4+'Monthly 5Y'!W28</f>
        <v>22165037</v>
      </c>
      <c r="X4" s="10" t="n">
        <f aca="false">W4+'Monthly 5Y'!X28</f>
        <v>24610890</v>
      </c>
      <c r="Y4" s="10" t="n">
        <f aca="false">X4+'Monthly 5Y'!Y28</f>
        <v>27056743</v>
      </c>
      <c r="Z4" s="10" t="n">
        <f aca="false">Y4+'Monthly 5Y'!Z28</f>
        <v>32100469.1</v>
      </c>
      <c r="AA4" s="10" t="n">
        <f aca="false">Z4+'Monthly 5Y'!AA28</f>
        <v>37664655.3</v>
      </c>
      <c r="AB4" s="10" t="n">
        <f aca="false">AA4+'Monthly 5Y'!AB28</f>
        <v>43749301.6</v>
      </c>
      <c r="AC4" s="10" t="n">
        <f aca="false">AB4+'Monthly 5Y'!AC28</f>
        <v>49704933.65</v>
      </c>
      <c r="AD4" s="10" t="n">
        <f aca="false">AC4+'Monthly 5Y'!AD28</f>
        <v>55660565.7</v>
      </c>
      <c r="AE4" s="10" t="n">
        <f aca="false">AD4+'Monthly 5Y'!AE28</f>
        <v>61616197.75</v>
      </c>
      <c r="AF4" s="10" t="n">
        <f aca="false">AE4+'Monthly 5Y'!AF28</f>
        <v>67571829.8</v>
      </c>
      <c r="AG4" s="10" t="n">
        <f aca="false">AF4+'Monthly 5Y'!AG28</f>
        <v>73527461.85</v>
      </c>
      <c r="AH4" s="10" t="n">
        <f aca="false">AG4+'Monthly 5Y'!AH28</f>
        <v>79483093.9</v>
      </c>
      <c r="AI4" s="10" t="n">
        <f aca="false">AH4+'Monthly 5Y'!AI28</f>
        <v>85438725.95</v>
      </c>
      <c r="AJ4" s="10" t="n">
        <f aca="false">AI4+'Monthly 5Y'!AJ28</f>
        <v>91394358</v>
      </c>
      <c r="AK4" s="10" t="n">
        <f aca="false">AJ4+'Monthly 5Y'!AK28</f>
        <v>97349990.05</v>
      </c>
      <c r="AL4" s="10" t="n">
        <f aca="false">AK4+'Monthly 5Y'!AL28</f>
        <v>108770840.735</v>
      </c>
      <c r="AM4" s="10" t="n">
        <f aca="false">AL4+'Monthly 5Y'!AM28</f>
        <v>119069382.505</v>
      </c>
      <c r="AN4" s="10" t="n">
        <f aca="false">AM4+'Monthly 5Y'!AN28</f>
        <v>129810315.36</v>
      </c>
      <c r="AO4" s="10" t="n">
        <f aca="false">AN4+'Monthly 5Y'!AO28</f>
        <v>140984022.1025</v>
      </c>
      <c r="AP4" s="10" t="n">
        <f aca="false">AO4+'Monthly 5Y'!AP28</f>
        <v>152157728.845</v>
      </c>
      <c r="AQ4" s="10" t="n">
        <f aca="false">AP4+'Monthly 5Y'!AQ28</f>
        <v>162693275.5875</v>
      </c>
      <c r="AR4" s="10" t="n">
        <f aca="false">AQ4+'Monthly 5Y'!AR28</f>
        <v>173228822.33</v>
      </c>
      <c r="AS4" s="10" t="n">
        <f aca="false">AR4+'Monthly 5Y'!AS28</f>
        <v>183764369.0725</v>
      </c>
      <c r="AT4" s="10" t="n">
        <f aca="false">AS4+'Monthly 5Y'!AT28</f>
        <v>194299915.815</v>
      </c>
      <c r="AU4" s="10" t="n">
        <f aca="false">AT4+'Monthly 5Y'!AU28</f>
        <v>204835462.5575</v>
      </c>
      <c r="AV4" s="10" t="n">
        <f aca="false">AU4+'Monthly 5Y'!AV28</f>
        <v>215371009.3</v>
      </c>
      <c r="AW4" s="10" t="n">
        <f aca="false">AV4+'Monthly 5Y'!AW28</f>
        <v>224341856.0425</v>
      </c>
      <c r="AX4" s="10" t="n">
        <f aca="false">AW4+'Monthly 5Y'!AX28</f>
        <v>240823918.62475</v>
      </c>
      <c r="AY4" s="10" t="n">
        <f aca="false">AX4+'Monthly 5Y'!AY28</f>
        <v>257682013.62925</v>
      </c>
      <c r="AZ4" s="10" t="n">
        <f aca="false">AY4+'Monthly 5Y'!AZ28</f>
        <v>274916141.056</v>
      </c>
      <c r="BA4" s="10" t="n">
        <f aca="false">AZ4+'Monthly 5Y'!BA28</f>
        <v>292518126.287125</v>
      </c>
      <c r="BB4" s="10" t="n">
        <f aca="false">BA4+'Monthly 5Y'!BB28</f>
        <v>309481951.51825</v>
      </c>
      <c r="BC4" s="10" t="n">
        <f aca="false">BB4+'Monthly 5Y'!BC28</f>
        <v>326445776.749375</v>
      </c>
      <c r="BD4" s="10" t="n">
        <f aca="false">BC4+'Monthly 5Y'!BD28</f>
        <v>343409601.9805</v>
      </c>
      <c r="BE4" s="10" t="n">
        <f aca="false">BD4+'Monthly 5Y'!BE28</f>
        <v>358808727.211625</v>
      </c>
      <c r="BF4" s="10" t="n">
        <f aca="false">BE4+'Monthly 5Y'!BF28</f>
        <v>374207852.44275</v>
      </c>
      <c r="BG4" s="10" t="n">
        <f aca="false">BF4+'Monthly 5Y'!BG28</f>
        <v>389606977.673875</v>
      </c>
      <c r="BH4" s="10" t="n">
        <f aca="false">BG4+'Monthly 5Y'!BH28</f>
        <v>405006102.905</v>
      </c>
      <c r="BI4" s="10" t="n">
        <f aca="false">BH4+'Monthly 5Y'!BI28</f>
        <v>420405228.136125</v>
      </c>
    </row>
    <row r="6" customFormat="false" ht="15" hidden="false" customHeight="true" outlineLevel="0" collapsed="false">
      <c r="A6" s="5" t="s">
        <v>135</v>
      </c>
      <c r="B6" s="10" t="n">
        <f aca="false">-B3*1.1</f>
        <v>3544588.66666667</v>
      </c>
    </row>
    <row r="7" customFormat="false" ht="15" hidden="false" customHeight="true" outlineLevel="0" collapsed="false">
      <c r="A7" s="5" t="s">
        <v>136</v>
      </c>
      <c r="B7" s="10" t="n">
        <f aca="false">B6*0.28</f>
        <v>992484.826666667</v>
      </c>
    </row>
    <row r="8" customFormat="false" ht="15" hidden="false" customHeight="true" outlineLevel="0" collapsed="false">
      <c r="A8" s="5" t="s">
        <v>137</v>
      </c>
      <c r="B8" s="6" t="n">
        <v>500000</v>
      </c>
    </row>
    <row r="9" customFormat="false" ht="15" hidden="false" customHeight="true" outlineLevel="0" collapsed="false">
      <c r="A9" s="5" t="s">
        <v>138</v>
      </c>
      <c r="B9" s="12" t="n">
        <f aca="false">B6+B7+B8</f>
        <v>5037073.49333333</v>
      </c>
      <c r="C9" s="17" t="n">
        <f aca="false">B9/Assumptions!B5</f>
        <v>13800.2013515982</v>
      </c>
    </row>
    <row r="11" customFormat="false" ht="15" hidden="false" customHeight="true" outlineLevel="0" collapsed="false">
      <c r="A11" s="3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2026-08-06T15:10:32Z</dcterms:created>
  <dc:creator>openpyxl</dc:creator>
  <dc:description/>
  <dc:language>en-US</dc:language>
  <cp:lastModifiedBy/>
  <dcterms:modified xsi:type="dcterms:W3CDTF">2026-08-10T12:56:19Z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